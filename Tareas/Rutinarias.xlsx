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ristobal.alonso\Desktop\TS Operaciones\Gestor Tareas\Tareas\"/>
    </mc:Choice>
  </mc:AlternateContent>
  <xr:revisionPtr revIDLastSave="0" documentId="13_ncr:1_{131BF7BA-A186-498F-8F94-94392880F5DE}" xr6:coauthVersionLast="47" xr6:coauthVersionMax="47" xr10:uidLastSave="{00000000-0000-0000-0000-000000000000}"/>
  <bookViews>
    <workbookView xWindow="-120" yWindow="-120" windowWidth="29040" windowHeight="15720" xr2:uid="{52A77F75-0A1A-4388-821A-C518F7050BE8}"/>
  </bookViews>
  <sheets>
    <sheet name="Tareas rutinarias" sheetId="28" r:id="rId1"/>
    <sheet name="Tiempo" sheetId="29" r:id="rId2"/>
    <sheet name="Tareas" sheetId="26" r:id="rId3"/>
  </sheets>
  <definedNames>
    <definedName name="DatosExternos_1" localSheetId="2" hidden="1">Tareas!$B$5:$K$368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28" l="1"/>
  <c r="AA5" i="28"/>
  <c r="T5" i="28"/>
  <c r="M5" i="28"/>
  <c r="F5" i="28"/>
  <c r="AJ10" i="28"/>
  <c r="AJ11" i="28"/>
  <c r="AJ12" i="28"/>
  <c r="AJ13" i="28"/>
  <c r="AJ14" i="28"/>
  <c r="AJ15" i="28"/>
  <c r="AJ16" i="28"/>
  <c r="AJ17" i="28"/>
  <c r="AJ18" i="28"/>
  <c r="AJ19" i="28"/>
  <c r="AJ20" i="28"/>
  <c r="AJ21" i="28"/>
  <c r="AJ22" i="28"/>
  <c r="AJ23" i="28"/>
  <c r="AJ24" i="28"/>
  <c r="AJ25" i="28"/>
  <c r="AJ26" i="28"/>
  <c r="AJ27" i="28"/>
  <c r="AJ28" i="28"/>
  <c r="AJ29" i="28"/>
  <c r="AJ30" i="28"/>
  <c r="AJ31" i="28"/>
  <c r="AJ32" i="28"/>
  <c r="AJ33" i="28"/>
  <c r="AJ34" i="28"/>
  <c r="AJ35" i="28"/>
  <c r="AJ36" i="28"/>
  <c r="AJ37" i="28"/>
  <c r="AJ38" i="28"/>
  <c r="AJ39" i="28"/>
  <c r="AJ40" i="28"/>
  <c r="AJ41" i="28"/>
  <c r="AJ42" i="28"/>
  <c r="AJ43" i="28"/>
  <c r="AJ44" i="28"/>
  <c r="AJ45" i="28"/>
  <c r="AJ46" i="28"/>
  <c r="AJ47" i="28"/>
  <c r="AJ48" i="28"/>
  <c r="AJ49" i="28"/>
  <c r="AJ50" i="28"/>
  <c r="AJ51" i="28"/>
  <c r="B29" i="29"/>
  <c r="B32" i="28"/>
  <c r="B32" i="29"/>
  <c r="B35" i="28"/>
  <c r="B8" i="29"/>
  <c r="B7" i="29"/>
  <c r="B12" i="29"/>
  <c r="B13" i="29"/>
  <c r="B10" i="29"/>
  <c r="B11" i="29"/>
  <c r="B9" i="29"/>
  <c r="B15" i="29"/>
  <c r="B16" i="29"/>
  <c r="B17" i="29"/>
  <c r="B18" i="29"/>
  <c r="B14" i="29"/>
  <c r="B19" i="29"/>
  <c r="B20" i="29"/>
  <c r="B22" i="29"/>
  <c r="B25" i="29"/>
  <c r="B23" i="29"/>
  <c r="B24" i="29"/>
  <c r="B21" i="29"/>
  <c r="B27" i="29"/>
  <c r="B26" i="29"/>
  <c r="B28" i="29"/>
  <c r="B30" i="29"/>
  <c r="B31" i="29"/>
  <c r="B33" i="29"/>
  <c r="B34" i="29"/>
  <c r="B37" i="29"/>
  <c r="B36" i="29"/>
  <c r="B38" i="29"/>
  <c r="B35" i="29"/>
  <c r="B39" i="29"/>
  <c r="B40" i="29"/>
  <c r="B41" i="29"/>
  <c r="B42" i="29"/>
  <c r="B43" i="29"/>
  <c r="B44" i="29"/>
  <c r="B45" i="29"/>
  <c r="B46" i="29"/>
  <c r="B47" i="29"/>
  <c r="B48" i="29"/>
  <c r="B6" i="29"/>
  <c r="B27" i="28"/>
  <c r="B17" i="28"/>
  <c r="B46" i="28"/>
  <c r="B48" i="28"/>
  <c r="B42" i="28"/>
  <c r="B11" i="28"/>
  <c r="B15" i="28"/>
  <c r="B16" i="28"/>
  <c r="B10" i="28"/>
  <c r="B13" i="28"/>
  <c r="B14" i="28"/>
  <c r="B12" i="28"/>
  <c r="B18" i="28"/>
  <c r="B19" i="28"/>
  <c r="B20" i="28"/>
  <c r="B21" i="28"/>
  <c r="B22" i="28"/>
  <c r="B23" i="28"/>
  <c r="B25" i="28"/>
  <c r="B28" i="28"/>
  <c r="B26" i="28"/>
  <c r="B29" i="28"/>
  <c r="B24" i="28"/>
  <c r="B30" i="28"/>
  <c r="B31" i="28"/>
  <c r="B33" i="28"/>
  <c r="B34" i="28"/>
  <c r="B36" i="28"/>
  <c r="B37" i="28"/>
  <c r="B39" i="28"/>
  <c r="B38" i="28"/>
  <c r="B40" i="28"/>
  <c r="B47" i="28"/>
  <c r="B41" i="28"/>
  <c r="B43" i="28"/>
  <c r="B44" i="28"/>
  <c r="B45" i="28"/>
  <c r="B49" i="28"/>
  <c r="B50" i="28"/>
  <c r="B51" i="28"/>
  <c r="B9" i="28"/>
  <c r="J6" i="28" l="1"/>
  <c r="I6" i="28"/>
  <c r="K6" i="28"/>
  <c r="L6" i="28"/>
  <c r="Y6" i="28"/>
  <c r="X6" i="28"/>
  <c r="W6" i="28"/>
  <c r="V6" i="28"/>
  <c r="H6" i="28"/>
  <c r="AI6" i="28"/>
  <c r="U6" i="28"/>
  <c r="G6" i="28"/>
  <c r="T6" i="28"/>
  <c r="AG6" i="28"/>
  <c r="AF6" i="28"/>
  <c r="R6" i="28"/>
  <c r="Q6" i="28"/>
  <c r="P6" i="28"/>
  <c r="AC6" i="28"/>
  <c r="AB6" i="28"/>
  <c r="AA6" i="28"/>
  <c r="M6" i="28"/>
  <c r="AH6" i="28"/>
  <c r="S6" i="28"/>
  <c r="AE6" i="28"/>
  <c r="AD6" i="28"/>
  <c r="O6" i="28"/>
  <c r="N6" i="28"/>
  <c r="Z6" i="28"/>
  <c r="F6" i="28"/>
  <c r="AJ9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B73C03D-C04A-4FE5-B1CE-8AD0977039EF}" keepAlive="1" name="Consulta - Tareas" description="Conexión a la consulta 'Tareas' en el libro." type="5" refreshedVersion="8" background="1" saveData="1">
    <dbPr connection="Provider=Microsoft.Mashup.OleDb.1;Data Source=$Workbook$;Location=Tareas;Extended Properties=&quot;&quot;" command="SELECT * FROM [Tareas]"/>
  </connection>
  <connection id="2" xr16:uid="{7F6DE1D6-7372-4725-8BC2-DA5773B775FC}" keepAlive="1" name="Consulta - Tiempo" description="Conexión a la consulta 'Tiempo' en el libro." type="5" refreshedVersion="0" background="1">
    <dbPr connection="Provider=Microsoft.Mashup.OleDb.1;Data Source=$Workbook$;Location=Tiempo;Extended Properties=&quot;&quot;" command="SELECT * FROM [Tiempo]"/>
  </connection>
</connections>
</file>

<file path=xl/sharedStrings.xml><?xml version="1.0" encoding="utf-8"?>
<sst xmlns="http://schemas.openxmlformats.org/spreadsheetml/2006/main" count="2032" uniqueCount="495">
  <si>
    <t>Sá.</t>
  </si>
  <si>
    <t>Do.</t>
  </si>
  <si>
    <t>Lu.</t>
  </si>
  <si>
    <t>Ma.</t>
  </si>
  <si>
    <t>Mi.</t>
  </si>
  <si>
    <t>Ju.</t>
  </si>
  <si>
    <t>Vi.</t>
  </si>
  <si>
    <t>Actualizar "Abonos" (Lu.)</t>
  </si>
  <si>
    <t>Agendar las reuniones del mes siguiente</t>
  </si>
  <si>
    <t>Tiempo estimado</t>
  </si>
  <si>
    <t>Tiempo real</t>
  </si>
  <si>
    <t>Actualizar "Puma" (Mi.)</t>
  </si>
  <si>
    <t>Meter los documentos en el PEN</t>
  </si>
  <si>
    <t>Actualizar "Órdenes de fabricación"</t>
  </si>
  <si>
    <t>Actualizar "Personalización Avanzado"</t>
  </si>
  <si>
    <t>Revisar semana + calendario (Lu.)</t>
  </si>
  <si>
    <t>Actualizar "CRM vs ERP" (Ma.)</t>
  </si>
  <si>
    <t>Fichar entrada</t>
  </si>
  <si>
    <t>Fichar salida</t>
  </si>
  <si>
    <t>Actualizar "Pipedrive" + guardar datos</t>
  </si>
  <si>
    <t>Estado</t>
  </si>
  <si>
    <t>Actualizar "Pipedrive Francia" + guardar datos</t>
  </si>
  <si>
    <t>Tareas</t>
  </si>
  <si>
    <t>Tipo</t>
  </si>
  <si>
    <t>Comentarios</t>
  </si>
  <si>
    <t>#</t>
  </si>
  <si>
    <t>Agendar las reuniones del mes siguiente (Últ. Laborable)</t>
  </si>
  <si>
    <t>Meter los documentos en el PEN (Últ. Laborable)</t>
  </si>
  <si>
    <t>Actualizar "Pre-orders"</t>
  </si>
  <si>
    <t>Actualizar "Abonos"</t>
  </si>
  <si>
    <t>Revisar semana + calendario</t>
  </si>
  <si>
    <t>Actualizar "CRM vs ERP"</t>
  </si>
  <si>
    <t>Actualizar "Puma"</t>
  </si>
  <si>
    <t>Actualizar "Mínimos"</t>
  </si>
  <si>
    <t>Cuadrar con Domeque el budget diario de las tiendas y con Laguna los generados web, los días laborables, la progresión de budget y el exceso de negativos que queremos enchufar los 3 primeros días</t>
  </si>
  <si>
    <t>Actualizar "Colectivos bloqueados"</t>
  </si>
  <si>
    <r>
      <rPr>
        <sz val="20"/>
        <color theme="1"/>
        <rFont val="Segoe UI Light"/>
        <family val="2"/>
      </rPr>
      <t>Teamsports</t>
    </r>
    <r>
      <rPr>
        <sz val="20"/>
        <color theme="1"/>
        <rFont val="Segoe UI"/>
        <family val="2"/>
      </rPr>
      <t xml:space="preserve"> </t>
    </r>
    <r>
      <rPr>
        <sz val="20"/>
        <color theme="1"/>
        <rFont val="Segoe UI Semibold"/>
        <family val="2"/>
      </rPr>
      <t>· Tiempo estimado</t>
    </r>
  </si>
  <si>
    <t>Tarea</t>
  </si>
  <si>
    <t>Actualizar "Pre-orders" (Vi.)</t>
  </si>
  <si>
    <t>Actualizar "Mínimos" (Mi.)</t>
  </si>
  <si>
    <t>Actualizar "Colectivos bloqueados" (Ma.)</t>
  </si>
  <si>
    <t>Hacer la hoja de tareas rutinarias del próximo mes (Últ. Laborable)</t>
  </si>
  <si>
    <t>Hacer la hoja de tareas rutinarias del próximo mes</t>
  </si>
  <si>
    <t>Actualizar "Eficacia Reservas" + modificar Pricelist</t>
  </si>
  <si>
    <t>Actualizar "Eficacia Reservas" + modificar Pricelist (Vi.)</t>
  </si>
  <si>
    <t>Ordenar escritorio PC (Últ. sábado)</t>
  </si>
  <si>
    <t>Ordenar escritorio PC</t>
  </si>
  <si>
    <t>Actualizar "Units Nike Contract"</t>
  </si>
  <si>
    <t>* Lo paralizamos hasta septiembre</t>
  </si>
  <si>
    <t>Actualizar "Deuda" (Lu.)</t>
  </si>
  <si>
    <t>Actualizar "Deuda"</t>
  </si>
  <si>
    <t>Notas</t>
  </si>
  <si>
    <t>Solicitada por</t>
  </si>
  <si>
    <t>Prioridad</t>
  </si>
  <si>
    <t>Deadline</t>
  </si>
  <si>
    <t>Cristóbal</t>
  </si>
  <si>
    <t>Pendiente</t>
  </si>
  <si>
    <t>Baja</t>
  </si>
  <si>
    <t>Fecha Solicitud</t>
  </si>
  <si>
    <r>
      <rPr>
        <sz val="20"/>
        <color theme="1"/>
        <rFont val="Segoe UI Light"/>
        <family val="2"/>
      </rPr>
      <t>Teamsports ·</t>
    </r>
    <r>
      <rPr>
        <sz val="20"/>
        <color theme="1"/>
        <rFont val="Segoe UI"/>
        <family val="2"/>
      </rPr>
      <t xml:space="preserve"> </t>
    </r>
    <r>
      <rPr>
        <sz val="20"/>
        <color theme="1"/>
        <rFont val="Segoe UI Semibold"/>
        <family val="2"/>
      </rPr>
      <t>Tareas rutinarias</t>
    </r>
  </si>
  <si>
    <t>Revisar calendario</t>
  </si>
  <si>
    <t>Plan del día</t>
  </si>
  <si>
    <t>Plan del día de Carlos</t>
  </si>
  <si>
    <t>Revisar el Live</t>
  </si>
  <si>
    <t>Control GenWeb</t>
  </si>
  <si>
    <t>Revisar el correo</t>
  </si>
  <si>
    <t>Revisar el Teams</t>
  </si>
  <si>
    <t>Mensaje Teams</t>
  </si>
  <si>
    <t>Actualizar "Nike" (Lu.)</t>
  </si>
  <si>
    <t>Revisar Trello (Ju.)</t>
  </si>
  <si>
    <t>Datos Puma (1er laborable)</t>
  </si>
  <si>
    <t>Datos Adidas (1er laborable)</t>
  </si>
  <si>
    <t>Aneyron/TPT + actualizar (2o laborable)</t>
  </si>
  <si>
    <t>Límite GenWeb (3er laborable del mes)</t>
  </si>
  <si>
    <t>Actualizar "Customer" (cada 15 días)</t>
  </si>
  <si>
    <t>Reunión Domeque/Laguna. Budget diario (Últ. jueves)</t>
  </si>
  <si>
    <t>Subir budget de facturación y COGS a PBI + Francia Online (Últ. viernes)</t>
  </si>
  <si>
    <r>
      <t xml:space="preserve">Comprobar budget. </t>
    </r>
    <r>
      <rPr>
        <b/>
        <sz val="10"/>
        <rFont val="Segoe UI"/>
        <family val="2"/>
      </rPr>
      <t>SE y EKIN</t>
    </r>
    <r>
      <rPr>
        <sz val="10"/>
        <rFont val="Segoe UI"/>
        <family val="2"/>
      </rPr>
      <t>. Facturación y COGS (Últ. sábado)</t>
    </r>
  </si>
  <si>
    <t>Revisar budget de SPOMA (Últ. Laborable)</t>
  </si>
  <si>
    <t>Actualizar "Nike"</t>
  </si>
  <si>
    <t>Revisar Trello</t>
  </si>
  <si>
    <t>Albaranes Internet - B2C</t>
  </si>
  <si>
    <t>Datos Puma</t>
  </si>
  <si>
    <t>Datos Adidas</t>
  </si>
  <si>
    <t>Aneyron/TPT + actualizar</t>
  </si>
  <si>
    <t>Límite GenWeb</t>
  </si>
  <si>
    <t>Actualizar "Customer"</t>
  </si>
  <si>
    <t>Reunión Domeque/Laguna. Budget diario</t>
  </si>
  <si>
    <t>Subir budget de facturación y COGS a PBI + Francia Online</t>
  </si>
  <si>
    <t>Comprobar budget. SE y EKIN. Facturación y COGS</t>
  </si>
  <si>
    <t>Revisar budget de SPOMA</t>
  </si>
  <si>
    <t>Actualizar "Control reposiciones" + guardar datos</t>
  </si>
  <si>
    <t>Actualizar "Control reposiciones" + guardar datos (Lu.)</t>
  </si>
  <si>
    <t>Actualizar "OB" (Ju.)</t>
  </si>
  <si>
    <t>Actualizar "OB"</t>
  </si>
  <si>
    <t>Diaria</t>
  </si>
  <si>
    <t>Semanal</t>
  </si>
  <si>
    <t>Mensual</t>
  </si>
  <si>
    <t>Actualizar "Informe comparativo CRM" (Mi.)</t>
  </si>
  <si>
    <t>Actualizar "Informe comparativo CRM"</t>
  </si>
  <si>
    <t>1-6</t>
  </si>
  <si>
    <t>2-6</t>
  </si>
  <si>
    <t>3-6</t>
  </si>
  <si>
    <t>4-6</t>
  </si>
  <si>
    <t>5-6</t>
  </si>
  <si>
    <t>6-6</t>
  </si>
  <si>
    <t>7-6</t>
  </si>
  <si>
    <t>8-6</t>
  </si>
  <si>
    <t>9-6</t>
  </si>
  <si>
    <t>10-6</t>
  </si>
  <si>
    <t>11-6</t>
  </si>
  <si>
    <t>12-6</t>
  </si>
  <si>
    <t>13-6</t>
  </si>
  <si>
    <t>14-6</t>
  </si>
  <si>
    <t>15-6</t>
  </si>
  <si>
    <t>16-6</t>
  </si>
  <si>
    <t>17-6</t>
  </si>
  <si>
    <t>18-6</t>
  </si>
  <si>
    <t>19-6</t>
  </si>
  <si>
    <t>20-6</t>
  </si>
  <si>
    <t>21-6</t>
  </si>
  <si>
    <t>22-6</t>
  </si>
  <si>
    <t>23-6</t>
  </si>
  <si>
    <t>24-6</t>
  </si>
  <si>
    <t>25-6</t>
  </si>
  <si>
    <t>26-6</t>
  </si>
  <si>
    <t>27-6</t>
  </si>
  <si>
    <t>28-6</t>
  </si>
  <si>
    <t>29-6</t>
  </si>
  <si>
    <t>30-6</t>
  </si>
  <si>
    <r>
      <rPr>
        <sz val="24"/>
        <color theme="1"/>
        <rFont val="Segoe UI Light"/>
        <family val="2"/>
      </rPr>
      <t>1. Tareas rutinarias ·</t>
    </r>
    <r>
      <rPr>
        <sz val="24"/>
        <color theme="1"/>
        <rFont val="Segoe UI Semibold"/>
        <family val="2"/>
      </rPr>
      <t xml:space="preserve"> Junio 2026</t>
    </r>
  </si>
  <si>
    <t>Fichar entrada 04/06/2026</t>
  </si>
  <si>
    <t>Fichar entrada 05/06/2026</t>
  </si>
  <si>
    <t>Fichar entrada 08/06/2026</t>
  </si>
  <si>
    <t>Fichar entrada 09/06/2026</t>
  </si>
  <si>
    <t>Fichar entrada 10/06/2026</t>
  </si>
  <si>
    <t>Fichar entrada 11/06/2026</t>
  </si>
  <si>
    <t>Fichar entrada 12/06/2026</t>
  </si>
  <si>
    <t>Fichar entrada 15/06/2026</t>
  </si>
  <si>
    <t>Fichar entrada 16/06/2026</t>
  </si>
  <si>
    <t>Fichar entrada 17/06/2026</t>
  </si>
  <si>
    <t>Fichar entrada 18/06/2026</t>
  </si>
  <si>
    <t>Fichar entrada 19/06/2026</t>
  </si>
  <si>
    <t>Fichar entrada 22/06/2026</t>
  </si>
  <si>
    <t>Fichar entrada 23/06/2026</t>
  </si>
  <si>
    <t>Fichar entrada 24/06/2026</t>
  </si>
  <si>
    <t>Fichar entrada 25/06/2026</t>
  </si>
  <si>
    <t>Fichar entrada 26/06/2026</t>
  </si>
  <si>
    <t>Fichar entrada 29/06/2026</t>
  </si>
  <si>
    <t>Fichar entrada 30/06/2026</t>
  </si>
  <si>
    <t>Revisar calendario 04/06/2026</t>
  </si>
  <si>
    <t>Revisar calendario 05/06/2026</t>
  </si>
  <si>
    <t>Revisar calendario 08/06/2026</t>
  </si>
  <si>
    <t>Revisar calendario 09/06/2026</t>
  </si>
  <si>
    <t>Revisar calendario 10/06/2026</t>
  </si>
  <si>
    <t>Revisar calendario 11/06/2026</t>
  </si>
  <si>
    <t>Revisar calendario 12/06/2026</t>
  </si>
  <si>
    <t>Revisar calendario 15/06/2026</t>
  </si>
  <si>
    <t>Revisar calendario 16/06/2026</t>
  </si>
  <si>
    <t>Revisar calendario 17/06/2026</t>
  </si>
  <si>
    <t>Revisar calendario 18/06/2026</t>
  </si>
  <si>
    <t>Revisar calendario 19/06/2026</t>
  </si>
  <si>
    <t>Revisar calendario 22/06/2026</t>
  </si>
  <si>
    <t>Revisar calendario 23/06/2026</t>
  </si>
  <si>
    <t>Revisar calendario 24/06/2026</t>
  </si>
  <si>
    <t>Revisar calendario 25/06/2026</t>
  </si>
  <si>
    <t>Revisar calendario 26/06/2026</t>
  </si>
  <si>
    <t>Revisar calendario 29/06/2026</t>
  </si>
  <si>
    <t>Revisar calendario 30/06/2026</t>
  </si>
  <si>
    <t>Plan del día 04/06/2026</t>
  </si>
  <si>
    <t>Plan del día 05/06/2026</t>
  </si>
  <si>
    <t>Plan del día 08/06/2026</t>
  </si>
  <si>
    <t>Plan del día 09/06/2026</t>
  </si>
  <si>
    <t>Plan del día 10/06/2026</t>
  </si>
  <si>
    <t>Plan del día 11/06/2026</t>
  </si>
  <si>
    <t>Plan del día 12/06/2026</t>
  </si>
  <si>
    <t>Plan del día 15/06/2026</t>
  </si>
  <si>
    <t>Plan del día 16/06/2026</t>
  </si>
  <si>
    <t>Plan del día 17/06/2026</t>
  </si>
  <si>
    <t>Plan del día 18/06/2026</t>
  </si>
  <si>
    <t>Plan del día 19/06/2026</t>
  </si>
  <si>
    <t>Plan del día 22/06/2026</t>
  </si>
  <si>
    <t>Plan del día 23/06/2026</t>
  </si>
  <si>
    <t>Plan del día 24/06/2026</t>
  </si>
  <si>
    <t>Plan del día 25/06/2026</t>
  </si>
  <si>
    <t>Plan del día 26/06/2026</t>
  </si>
  <si>
    <t>Plan del día 29/06/2026</t>
  </si>
  <si>
    <t>Plan del día 30/06/2026</t>
  </si>
  <si>
    <t>Plan del día de Carlos 04/06/2026</t>
  </si>
  <si>
    <t>Plan del día de Carlos 05/06/2026</t>
  </si>
  <si>
    <t>Plan del día de Carlos 08/06/2026</t>
  </si>
  <si>
    <t>Plan del día de Carlos 09/06/2026</t>
  </si>
  <si>
    <t>Plan del día de Carlos 10/06/2026</t>
  </si>
  <si>
    <t>Plan del día de Carlos 11/06/2026</t>
  </si>
  <si>
    <t>Plan del día de Carlos 12/06/2026</t>
  </si>
  <si>
    <t>Plan del día de Carlos 15/06/2026</t>
  </si>
  <si>
    <t>Plan del día de Carlos 16/06/2026</t>
  </si>
  <si>
    <t>Plan del día de Carlos 17/06/2026</t>
  </si>
  <si>
    <t>Plan del día de Carlos 18/06/2026</t>
  </si>
  <si>
    <t>Plan del día de Carlos 19/06/2026</t>
  </si>
  <si>
    <t>Plan del día de Carlos 22/06/2026</t>
  </si>
  <si>
    <t>Plan del día de Carlos 23/06/2026</t>
  </si>
  <si>
    <t>Plan del día de Carlos 24/06/2026</t>
  </si>
  <si>
    <t>Plan del día de Carlos 25/06/2026</t>
  </si>
  <si>
    <t>Plan del día de Carlos 26/06/2026</t>
  </si>
  <si>
    <t>Plan del día de Carlos 29/06/2026</t>
  </si>
  <si>
    <t>Plan del día de Carlos 30/06/2026</t>
  </si>
  <si>
    <t>Revisar el Live 04/06/2026</t>
  </si>
  <si>
    <t>Revisar el Live 05/06/2026</t>
  </si>
  <si>
    <t>Revisar el Live 08/06/2026</t>
  </si>
  <si>
    <t>Revisar el Live 09/06/2026</t>
  </si>
  <si>
    <t>Revisar el Live 10/06/2026</t>
  </si>
  <si>
    <t>Revisar el Live 11/06/2026</t>
  </si>
  <si>
    <t>Revisar el Live 12/06/2026</t>
  </si>
  <si>
    <t>Revisar el Live 15/06/2026</t>
  </si>
  <si>
    <t>Revisar el Live 16/06/2026</t>
  </si>
  <si>
    <t>Revisar el Live 17/06/2026</t>
  </si>
  <si>
    <t>Revisar el Live 18/06/2026</t>
  </si>
  <si>
    <t>Revisar el Live 19/06/2026</t>
  </si>
  <si>
    <t>Revisar el Live 22/06/2026</t>
  </si>
  <si>
    <t>Revisar el Live 23/06/2026</t>
  </si>
  <si>
    <t>Revisar el Live 24/06/2026</t>
  </si>
  <si>
    <t>Revisar el Live 25/06/2026</t>
  </si>
  <si>
    <t>Revisar el Live 26/06/2026</t>
  </si>
  <si>
    <t>Revisar el Live 29/06/2026</t>
  </si>
  <si>
    <t>Revisar el Live 30/06/2026</t>
  </si>
  <si>
    <t>Control GenWeb 04/06/2026</t>
  </si>
  <si>
    <t>Control GenWeb 05/06/2026</t>
  </si>
  <si>
    <t>Control GenWeb 08/06/2026</t>
  </si>
  <si>
    <t>Control GenWeb 09/06/2026</t>
  </si>
  <si>
    <t>Control GenWeb 10/06/2026</t>
  </si>
  <si>
    <t>Control GenWeb 11/06/2026</t>
  </si>
  <si>
    <t>Control GenWeb 12/06/2026</t>
  </si>
  <si>
    <t>Control GenWeb 15/06/2026</t>
  </si>
  <si>
    <t>Control GenWeb 16/06/2026</t>
  </si>
  <si>
    <t>Control GenWeb 17/06/2026</t>
  </si>
  <si>
    <t>Control GenWeb 18/06/2026</t>
  </si>
  <si>
    <t>Control GenWeb 19/06/2026</t>
  </si>
  <si>
    <t>Control GenWeb 22/06/2026</t>
  </si>
  <si>
    <t>Control GenWeb 23/06/2026</t>
  </si>
  <si>
    <t>Control GenWeb 24/06/2026</t>
  </si>
  <si>
    <t>Control GenWeb 25/06/2026</t>
  </si>
  <si>
    <t>Control GenWeb 26/06/2026</t>
  </si>
  <si>
    <t>Control GenWeb 29/06/2026</t>
  </si>
  <si>
    <t>Control GenWeb 30/06/2026</t>
  </si>
  <si>
    <t>Revisar el correo 04/06/2026</t>
  </si>
  <si>
    <t>Revisar el correo 05/06/2026</t>
  </si>
  <si>
    <t>Revisar el correo 08/06/2026</t>
  </si>
  <si>
    <t>Revisar el correo 09/06/2026</t>
  </si>
  <si>
    <t>Revisar el correo 10/06/2026</t>
  </si>
  <si>
    <t>Revisar el correo 11/06/2026</t>
  </si>
  <si>
    <t>Revisar el correo 12/06/2026</t>
  </si>
  <si>
    <t>Revisar el correo 15/06/2026</t>
  </si>
  <si>
    <t>Revisar el correo 16/06/2026</t>
  </si>
  <si>
    <t>Revisar el correo 17/06/2026</t>
  </si>
  <si>
    <t>Revisar el correo 18/06/2026</t>
  </si>
  <si>
    <t>Revisar el correo 19/06/2026</t>
  </si>
  <si>
    <t>Revisar el correo 22/06/2026</t>
  </si>
  <si>
    <t>Revisar el correo 23/06/2026</t>
  </si>
  <si>
    <t>Revisar el correo 24/06/2026</t>
  </si>
  <si>
    <t>Revisar el correo 25/06/2026</t>
  </si>
  <si>
    <t>Revisar el correo 26/06/2026</t>
  </si>
  <si>
    <t>Revisar el correo 29/06/2026</t>
  </si>
  <si>
    <t>Revisar el correo 30/06/2026</t>
  </si>
  <si>
    <t>Revisar el Teams 04/06/2026</t>
  </si>
  <si>
    <t>Revisar el Teams 05/06/2026</t>
  </si>
  <si>
    <t>Revisar el Teams 08/06/2026</t>
  </si>
  <si>
    <t>Revisar el Teams 09/06/2026</t>
  </si>
  <si>
    <t>Revisar el Teams 10/06/2026</t>
  </si>
  <si>
    <t>Revisar el Teams 11/06/2026</t>
  </si>
  <si>
    <t>Revisar el Teams 12/06/2026</t>
  </si>
  <si>
    <t>Revisar el Teams 15/06/2026</t>
  </si>
  <si>
    <t>Revisar el Teams 16/06/2026</t>
  </si>
  <si>
    <t>Revisar el Teams 17/06/2026</t>
  </si>
  <si>
    <t>Revisar el Teams 18/06/2026</t>
  </si>
  <si>
    <t>Revisar el Teams 19/06/2026</t>
  </si>
  <si>
    <t>Revisar el Teams 22/06/2026</t>
  </si>
  <si>
    <t>Revisar el Teams 23/06/2026</t>
  </si>
  <si>
    <t>Revisar el Teams 24/06/2026</t>
  </si>
  <si>
    <t>Revisar el Teams 25/06/2026</t>
  </si>
  <si>
    <t>Revisar el Teams 26/06/2026</t>
  </si>
  <si>
    <t>Revisar el Teams 29/06/2026</t>
  </si>
  <si>
    <t>Revisar el Teams 30/06/2026</t>
  </si>
  <si>
    <t>Actualizar "Units Nike Contract" 04/06/2026</t>
  </si>
  <si>
    <t>Actualizar "Units Nike Contract" 05/06/2026</t>
  </si>
  <si>
    <t>Actualizar "Units Nike Contract" 08/06/2026</t>
  </si>
  <si>
    <t>Actualizar "Units Nike Contract" 09/06/2026</t>
  </si>
  <si>
    <t>Actualizar "Units Nike Contract" 10/06/2026</t>
  </si>
  <si>
    <t>Actualizar "Units Nike Contract" 11/06/2026</t>
  </si>
  <si>
    <t>Actualizar "Units Nike Contract" 12/06/2026</t>
  </si>
  <si>
    <t>Actualizar "Units Nike Contract" 15/06/2026</t>
  </si>
  <si>
    <t>Actualizar "Units Nike Contract" 16/06/2026</t>
  </si>
  <si>
    <t>Actualizar "Units Nike Contract" 17/06/2026</t>
  </si>
  <si>
    <t>Actualizar "Units Nike Contract" 18/06/2026</t>
  </si>
  <si>
    <t>Actualizar "Units Nike Contract" 19/06/2026</t>
  </si>
  <si>
    <t>Actualizar "Units Nike Contract" 22/06/2026</t>
  </si>
  <si>
    <t>Actualizar "Units Nike Contract" 23/06/2026</t>
  </si>
  <si>
    <t>Actualizar "Units Nike Contract" 24/06/2026</t>
  </si>
  <si>
    <t>Actualizar "Units Nike Contract" 25/06/2026</t>
  </si>
  <si>
    <t>Actualizar "Units Nike Contract" 26/06/2026</t>
  </si>
  <si>
    <t>Actualizar "Units Nike Contract" 29/06/2026</t>
  </si>
  <si>
    <t>Actualizar "Units Nike Contract" 30/06/2026</t>
  </si>
  <si>
    <t>Actualizar "Órdenes de fabricación" 04/06/2026</t>
  </si>
  <si>
    <t>Actualizar "Órdenes de fabricación" 05/06/2026</t>
  </si>
  <si>
    <t>Actualizar "Órdenes de fabricación" 08/06/2026</t>
  </si>
  <si>
    <t>Actualizar "Órdenes de fabricación" 09/06/2026</t>
  </si>
  <si>
    <t>Actualizar "Órdenes de fabricación" 10/06/2026</t>
  </si>
  <si>
    <t>Actualizar "Órdenes de fabricación" 11/06/2026</t>
  </si>
  <si>
    <t>Actualizar "Órdenes de fabricación" 12/06/2026</t>
  </si>
  <si>
    <t>Actualizar "Órdenes de fabricación" 15/06/2026</t>
  </si>
  <si>
    <t>Actualizar "Órdenes de fabricación" 16/06/2026</t>
  </si>
  <si>
    <t>Actualizar "Órdenes de fabricación" 17/06/2026</t>
  </si>
  <si>
    <t>Actualizar "Órdenes de fabricación" 18/06/2026</t>
  </si>
  <si>
    <t>Actualizar "Órdenes de fabricación" 19/06/2026</t>
  </si>
  <si>
    <t>Actualizar "Órdenes de fabricación" 22/06/2026</t>
  </si>
  <si>
    <t>Actualizar "Órdenes de fabricación" 23/06/2026</t>
  </si>
  <si>
    <t>Actualizar "Órdenes de fabricación" 24/06/2026</t>
  </si>
  <si>
    <t>Actualizar "Órdenes de fabricación" 25/06/2026</t>
  </si>
  <si>
    <t>Actualizar "Órdenes de fabricación" 26/06/2026</t>
  </si>
  <si>
    <t>Actualizar "Órdenes de fabricación" 29/06/2026</t>
  </si>
  <si>
    <t>Actualizar "Órdenes de fabricación" 30/06/2026</t>
  </si>
  <si>
    <t>Actualizar "Personalización Avanzado" 04/06/2026</t>
  </si>
  <si>
    <t>Actualizar "Personalización Avanzado" 05/06/2026</t>
  </si>
  <si>
    <t>Actualizar "Personalización Avanzado" 08/06/2026</t>
  </si>
  <si>
    <t>Actualizar "Personalización Avanzado" 09/06/2026</t>
  </si>
  <si>
    <t>Actualizar "Personalización Avanzado" 10/06/2026</t>
  </si>
  <si>
    <t>Actualizar "Personalización Avanzado" 11/06/2026</t>
  </si>
  <si>
    <t>Actualizar "Personalización Avanzado" 12/06/2026</t>
  </si>
  <si>
    <t>Actualizar "Personalización Avanzado" 15/06/2026</t>
  </si>
  <si>
    <t>Actualizar "Personalización Avanzado" 16/06/2026</t>
  </si>
  <si>
    <t>Actualizar "Personalización Avanzado" 17/06/2026</t>
  </si>
  <si>
    <t>Actualizar "Personalización Avanzado" 18/06/2026</t>
  </si>
  <si>
    <t>Actualizar "Personalización Avanzado" 19/06/2026</t>
  </si>
  <si>
    <t>Actualizar "Personalización Avanzado" 22/06/2026</t>
  </si>
  <si>
    <t>Actualizar "Personalización Avanzado" 23/06/2026</t>
  </si>
  <si>
    <t>Actualizar "Personalización Avanzado" 24/06/2026</t>
  </si>
  <si>
    <t>Actualizar "Personalización Avanzado" 25/06/2026</t>
  </si>
  <si>
    <t>Actualizar "Personalización Avanzado" 26/06/2026</t>
  </si>
  <si>
    <t>Actualizar "Personalización Avanzado" 29/06/2026</t>
  </si>
  <si>
    <t>Actualizar "Personalización Avanzado" 30/06/2026</t>
  </si>
  <si>
    <t>Actualizar "Pipedrive" + guardar datos 04/06/2026</t>
  </si>
  <si>
    <t>Actualizar "Pipedrive" + guardar datos 05/06/2026</t>
  </si>
  <si>
    <t>Actualizar "Pipedrive" + guardar datos 08/06/2026</t>
  </si>
  <si>
    <t>Actualizar "Pipedrive" + guardar datos 09/06/2026</t>
  </si>
  <si>
    <t>Actualizar "Pipedrive" + guardar datos 10/06/2026</t>
  </si>
  <si>
    <t>Actualizar "Pipedrive" + guardar datos 11/06/2026</t>
  </si>
  <si>
    <t>Actualizar "Pipedrive" + guardar datos 12/06/2026</t>
  </si>
  <si>
    <t>Actualizar "Pipedrive" + guardar datos 15/06/2026</t>
  </si>
  <si>
    <t>Actualizar "Pipedrive" + guardar datos 16/06/2026</t>
  </si>
  <si>
    <t>Actualizar "Pipedrive" + guardar datos 17/06/2026</t>
  </si>
  <si>
    <t>Actualizar "Pipedrive" + guardar datos 18/06/2026</t>
  </si>
  <si>
    <t>Actualizar "Pipedrive" + guardar datos 19/06/2026</t>
  </si>
  <si>
    <t>Actualizar "Pipedrive" + guardar datos 22/06/2026</t>
  </si>
  <si>
    <t>Actualizar "Pipedrive" + guardar datos 23/06/2026</t>
  </si>
  <si>
    <t>Actualizar "Pipedrive" + guardar datos 24/06/2026</t>
  </si>
  <si>
    <t>Actualizar "Pipedrive" + guardar datos 25/06/2026</t>
  </si>
  <si>
    <t>Actualizar "Pipedrive" + guardar datos 26/06/2026</t>
  </si>
  <si>
    <t>Actualizar "Pipedrive" + guardar datos 29/06/2026</t>
  </si>
  <si>
    <t>Actualizar "Pipedrive" + guardar datos 30/06/2026</t>
  </si>
  <si>
    <t>Actualizar "Pipedrive Francia" + guardar datos 04/06/2026</t>
  </si>
  <si>
    <t>Actualizar "Pipedrive Francia" + guardar datos 05/06/2026</t>
  </si>
  <si>
    <t>Actualizar "Pipedrive Francia" + guardar datos 08/06/2026</t>
  </si>
  <si>
    <t>Actualizar "Pipedrive Francia" + guardar datos 09/06/2026</t>
  </si>
  <si>
    <t>Actualizar "Pipedrive Francia" + guardar datos 10/06/2026</t>
  </si>
  <si>
    <t>Actualizar "Pipedrive Francia" + guardar datos 11/06/2026</t>
  </si>
  <si>
    <t>Actualizar "Pipedrive Francia" + guardar datos 12/06/2026</t>
  </si>
  <si>
    <t>Actualizar "Pipedrive Francia" + guardar datos 15/06/2026</t>
  </si>
  <si>
    <t>Actualizar "Pipedrive Francia" + guardar datos 16/06/2026</t>
  </si>
  <si>
    <t>Actualizar "Pipedrive Francia" + guardar datos 17/06/2026</t>
  </si>
  <si>
    <t>Actualizar "Pipedrive Francia" + guardar datos 18/06/2026</t>
  </si>
  <si>
    <t>Actualizar "Pipedrive Francia" + guardar datos 19/06/2026</t>
  </si>
  <si>
    <t>Actualizar "Pipedrive Francia" + guardar datos 22/06/2026</t>
  </si>
  <si>
    <t>Actualizar "Pipedrive Francia" + guardar datos 23/06/2026</t>
  </si>
  <si>
    <t>Actualizar "Pipedrive Francia" + guardar datos 24/06/2026</t>
  </si>
  <si>
    <t>Actualizar "Pipedrive Francia" + guardar datos 25/06/2026</t>
  </si>
  <si>
    <t>Actualizar "Pipedrive Francia" + guardar datos 26/06/2026</t>
  </si>
  <si>
    <t>Actualizar "Pipedrive Francia" + guardar datos 29/06/2026</t>
  </si>
  <si>
    <t>Actualizar "Pipedrive Francia" + guardar datos 30/06/2026</t>
  </si>
  <si>
    <t>Mensaje Teams 04/06/2026</t>
  </si>
  <si>
    <t>Mensaje Teams 05/06/2026</t>
  </si>
  <si>
    <t>Mensaje Teams 08/06/2026</t>
  </si>
  <si>
    <t>Mensaje Teams 09/06/2026</t>
  </si>
  <si>
    <t>Mensaje Teams 10/06/2026</t>
  </si>
  <si>
    <t>Mensaje Teams 11/06/2026</t>
  </si>
  <si>
    <t>Mensaje Teams 12/06/2026</t>
  </si>
  <si>
    <t>Mensaje Teams 15/06/2026</t>
  </si>
  <si>
    <t>Mensaje Teams 16/06/2026</t>
  </si>
  <si>
    <t>Mensaje Teams 17/06/2026</t>
  </si>
  <si>
    <t>Mensaje Teams 18/06/2026</t>
  </si>
  <si>
    <t>Mensaje Teams 19/06/2026</t>
  </si>
  <si>
    <t>Mensaje Teams 22/06/2026</t>
  </si>
  <si>
    <t>Mensaje Teams 23/06/2026</t>
  </si>
  <si>
    <t>Mensaje Teams 24/06/2026</t>
  </si>
  <si>
    <t>Mensaje Teams 25/06/2026</t>
  </si>
  <si>
    <t>Mensaje Teams 26/06/2026</t>
  </si>
  <si>
    <t>Mensaje Teams 29/06/2026</t>
  </si>
  <si>
    <t>Mensaje Teams 30/06/2026</t>
  </si>
  <si>
    <t>Fichar salida 04/06/2026</t>
  </si>
  <si>
    <t>Fichar salida 05/06/2026</t>
  </si>
  <si>
    <t>Fichar salida 08/06/2026</t>
  </si>
  <si>
    <t>Fichar salida 09/06/2026</t>
  </si>
  <si>
    <t>Fichar salida 10/06/2026</t>
  </si>
  <si>
    <t>Fichar salida 11/06/2026</t>
  </si>
  <si>
    <t>Fichar salida 12/06/2026</t>
  </si>
  <si>
    <t>Fichar salida 15/06/2026</t>
  </si>
  <si>
    <t>Fichar salida 16/06/2026</t>
  </si>
  <si>
    <t>Fichar salida 17/06/2026</t>
  </si>
  <si>
    <t>Fichar salida 18/06/2026</t>
  </si>
  <si>
    <t>Fichar salida 19/06/2026</t>
  </si>
  <si>
    <t>Fichar salida 22/06/2026</t>
  </si>
  <si>
    <t>Fichar salida 23/06/2026</t>
  </si>
  <si>
    <t>Fichar salida 24/06/2026</t>
  </si>
  <si>
    <t>Fichar salida 25/06/2026</t>
  </si>
  <si>
    <t>Fichar salida 26/06/2026</t>
  </si>
  <si>
    <t>Fichar salida 29/06/2026</t>
  </si>
  <si>
    <t>Fichar salida 30/06/2026</t>
  </si>
  <si>
    <t>Revisar semana + calendario 04/06/2026</t>
  </si>
  <si>
    <t>Revisar semana + calendario 08/06/2026</t>
  </si>
  <si>
    <t>Revisar semana + calendario 15/06/2026</t>
  </si>
  <si>
    <t>Revisar semana + calendario 22/06/2026</t>
  </si>
  <si>
    <t>Revisar semana + calendario 29/06/2026</t>
  </si>
  <si>
    <t>Actualizar "Abonos" 04/06/2026</t>
  </si>
  <si>
    <t>Actualizar "Abonos" 08/06/2026</t>
  </si>
  <si>
    <t>Actualizar "Abonos" 15/06/2026</t>
  </si>
  <si>
    <t>Actualizar "Abonos" 22/06/2026</t>
  </si>
  <si>
    <t>Actualizar "Abonos" 29/06/2026</t>
  </si>
  <si>
    <t>Actualizar "Control reposiciones" + guardar datos 04/06/2026</t>
  </si>
  <si>
    <t>Actualizar "Control reposiciones" + guardar datos 08/06/2026</t>
  </si>
  <si>
    <t>Actualizar "Control reposiciones" + guardar datos 15/06/2026</t>
  </si>
  <si>
    <t>Actualizar "Control reposiciones" + guardar datos 22/06/2026</t>
  </si>
  <si>
    <t>Actualizar "Control reposiciones" + guardar datos 29/06/2026</t>
  </si>
  <si>
    <t>Actualizar "Deuda" 04/06/2026</t>
  </si>
  <si>
    <t>Actualizar "Deuda" 08/06/2026</t>
  </si>
  <si>
    <t>Actualizar "Deuda" 15/06/2026</t>
  </si>
  <si>
    <t>Actualizar "Deuda" 22/06/2026</t>
  </si>
  <si>
    <t>Actualizar "Deuda" 29/06/2026</t>
  </si>
  <si>
    <t>Actualizar "Nike" 04/06/2026</t>
  </si>
  <si>
    <t>Actualizar "Nike" 08/06/2026</t>
  </si>
  <si>
    <t>Actualizar "Nike" 15/06/2026</t>
  </si>
  <si>
    <t>Actualizar "Nike" 22/06/2026</t>
  </si>
  <si>
    <t>Actualizar "Nike" 29/06/2026</t>
  </si>
  <si>
    <t>Actualizar "Colectivos bloqueados" 04/06/2026</t>
  </si>
  <si>
    <t>Actualizar "Colectivos bloqueados" 09/06/2026</t>
  </si>
  <si>
    <t>Actualizar "Colectivos bloqueados" 16/06/2026</t>
  </si>
  <si>
    <t>Actualizar "Colectivos bloqueados" 23/06/2026</t>
  </si>
  <si>
    <t>Actualizar "Colectivos bloqueados" 30/06/2026</t>
  </si>
  <si>
    <t>Actualizar "CRM vs ERP" 04/06/2026</t>
  </si>
  <si>
    <t>Actualizar "CRM vs ERP" 09/06/2026</t>
  </si>
  <si>
    <t>Actualizar "CRM vs ERP" 16/06/2026</t>
  </si>
  <si>
    <t>Actualizar "CRM vs ERP" 23/06/2026</t>
  </si>
  <si>
    <t>Actualizar "CRM vs ERP" 30/06/2026</t>
  </si>
  <si>
    <t>Actualizar "Puma" 04/06/2026</t>
  </si>
  <si>
    <t>Actualizar "Puma" 10/06/2026</t>
  </si>
  <si>
    <t>Actualizar "Puma" 17/06/2026</t>
  </si>
  <si>
    <t>Actualizar "Puma" 24/06/2026</t>
  </si>
  <si>
    <t>Actualizar "Informe comparativo CRM" 04/06/2026</t>
  </si>
  <si>
    <t>Actualizar "Informe comparativo CRM" 10/06/2026</t>
  </si>
  <si>
    <t>Actualizar "Informe comparativo CRM" 17/06/2026</t>
  </si>
  <si>
    <t>Actualizar "Informe comparativo CRM" 24/06/2026</t>
  </si>
  <si>
    <t>Actualizar "Mínimos" 04/06/2026</t>
  </si>
  <si>
    <t>Actualizar "Mínimos" 10/06/2026</t>
  </si>
  <si>
    <t>Actualizar "Mínimos" 17/06/2026</t>
  </si>
  <si>
    <t>Actualizar "Mínimos" 24/06/2026</t>
  </si>
  <si>
    <t>Revisar Trello 04/06/2026</t>
  </si>
  <si>
    <t>Revisar Trello 11/06/2026</t>
  </si>
  <si>
    <t>Revisar Trello 18/06/2026</t>
  </si>
  <si>
    <t>Revisar Trello 25/06/2026</t>
  </si>
  <si>
    <t>Actualizar "OB" 04/06/2026</t>
  </si>
  <si>
    <t>Actualizar "OB" 11/06/2026</t>
  </si>
  <si>
    <t>Actualizar "OB" 18/06/2026</t>
  </si>
  <si>
    <t>Actualizar "OB" 25/06/2026</t>
  </si>
  <si>
    <t>Actualizar "Pre-orders" 05/06/2026</t>
  </si>
  <si>
    <t>Actualizar "Pre-orders" 12/06/2026</t>
  </si>
  <si>
    <t>Actualizar "Pre-orders" 19/06/2026</t>
  </si>
  <si>
    <t>Actualizar "Pre-orders" 26/06/2026</t>
  </si>
  <si>
    <t>Actualizar "Eficacia Reservas" + modificar Pricelist 05/06/2026</t>
  </si>
  <si>
    <t>Actualizar "Eficacia Reservas" + modificar Pricelist 12/06/2026</t>
  </si>
  <si>
    <t>Actualizar "Eficacia Reservas" + modificar Pricelist 19/06/2026</t>
  </si>
  <si>
    <t>Actualizar "Eficacia Reservas" + modificar Pricelist 26/06/2026</t>
  </si>
  <si>
    <t>Datos Puma 04/06/2026</t>
  </si>
  <si>
    <t>Datos Adidas 04/06/2026</t>
  </si>
  <si>
    <t>Aneyron/TPT + actualizar 04/06/2026</t>
  </si>
  <si>
    <t>Límite GenWeb 04/06/2026</t>
  </si>
  <si>
    <t>Actualizar "Customer" 15/06/2026</t>
  </si>
  <si>
    <t>Actualizar "Customer" 30/06/2026</t>
  </si>
  <si>
    <t>Reunión Domeque/Laguna. Budget diario 25/06/2026</t>
  </si>
  <si>
    <t>Subir budget de facturación y COGS a PBI + Francia Online 26/06/2026</t>
  </si>
  <si>
    <t>Comprobar budget. SE y EKIN. Facturación y COGS 27/06/2026</t>
  </si>
  <si>
    <t>Ordenar escritorio PC 27/06/2026</t>
  </si>
  <si>
    <t>Revisar budget de SPOMA 30/06/2026</t>
  </si>
  <si>
    <t>Agendar las reuniones del mes siguiente 30/06/2026</t>
  </si>
  <si>
    <t>Meter los documentos en el PEN 30/06/2026</t>
  </si>
  <si>
    <t>Hacer la hoja de tareas rutinarias del próximo mes 30/06/2026</t>
  </si>
  <si>
    <t>Albaranes Internet - B2C (Últ. Laborable)</t>
  </si>
  <si>
    <t>Albaranes Internet - B2C 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</si>
</sst>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-m;@"/>
    <numFmt numFmtId="165" formatCode="0\ &quot;Min.&quot;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24"/>
      <color theme="1"/>
      <name val="Segoe UI"/>
      <family val="2"/>
    </font>
    <font>
      <sz val="8"/>
      <color theme="1"/>
      <name val="Segoe UI"/>
      <family val="2"/>
    </font>
    <font>
      <sz val="10"/>
      <color theme="5"/>
      <name val="Segoe UI"/>
      <family val="2"/>
    </font>
    <font>
      <b/>
      <sz val="8"/>
      <color theme="5"/>
      <name val="Segoe UI"/>
      <family val="2"/>
    </font>
    <font>
      <sz val="10"/>
      <color rgb="FFFFC000"/>
      <name val="Segoe UI"/>
      <family val="2"/>
    </font>
    <font>
      <sz val="11"/>
      <color rgb="FFFFC000"/>
      <name val="Segoe UI"/>
      <family val="2"/>
    </font>
    <font>
      <sz val="11"/>
      <name val="Segoe UI"/>
      <family val="2"/>
    </font>
    <font>
      <sz val="24"/>
      <color theme="1"/>
      <name val="Segoe UI Semibold"/>
      <family val="2"/>
    </font>
    <font>
      <sz val="10"/>
      <color theme="1"/>
      <name val="Segoe UI Semibold"/>
      <family val="2"/>
    </font>
    <font>
      <sz val="10"/>
      <name val="Segoe UI Semibold"/>
      <family val="2"/>
    </font>
    <font>
      <i/>
      <sz val="10"/>
      <color rgb="FFFF355E"/>
      <name val="Segoe UI Semibold"/>
      <family val="2"/>
    </font>
    <font>
      <sz val="24"/>
      <color theme="1"/>
      <name val="Segoe UI Light"/>
      <family val="2"/>
    </font>
    <font>
      <i/>
      <sz val="10"/>
      <color theme="1"/>
      <name val="Segoe UI Semibold"/>
      <family val="2"/>
    </font>
    <font>
      <i/>
      <sz val="10"/>
      <color rgb="FFFFC000"/>
      <name val="Segoe UI Semibold"/>
      <family val="2"/>
    </font>
    <font>
      <sz val="8"/>
      <name val="Segoe UI"/>
      <family val="2"/>
    </font>
    <font>
      <sz val="20"/>
      <color theme="1"/>
      <name val="Segoe UI"/>
      <family val="2"/>
    </font>
    <font>
      <sz val="20"/>
      <color theme="1"/>
      <name val="Segoe UI Light"/>
      <family val="2"/>
    </font>
    <font>
      <sz val="20"/>
      <color theme="1"/>
      <name val="Segoe UI Semibold"/>
      <family val="2"/>
    </font>
    <font>
      <sz val="8"/>
      <name val="Aptos Narrow"/>
      <family val="2"/>
      <scheme val="minor"/>
    </font>
    <font>
      <i/>
      <sz val="10"/>
      <color rgb="FF07A2AD"/>
      <name val="Segoe UI Semibold"/>
      <family val="2"/>
    </font>
    <font>
      <i/>
      <sz val="10"/>
      <name val="Segoe UI Semibold"/>
      <family val="2"/>
    </font>
  </fonts>
  <fills count="3">
    <fill>
      <patternFill patternType="none"/>
    </fill>
    <fill>
      <patternFill patternType="gray125"/>
    </fill>
    <fill>
      <patternFill patternType="solid">
        <fgColor rgb="FFFFF6E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theme="1"/>
      </right>
      <top/>
      <bottom style="hair">
        <color indexed="64"/>
      </bottom>
      <diagonal/>
    </border>
    <border>
      <left style="hair">
        <color indexed="64"/>
      </left>
      <right style="hair">
        <color theme="1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164" fontId="16" fillId="2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 wrapText="1"/>
    </xf>
    <xf numFmtId="1" fontId="19" fillId="2" borderId="0" xfId="0" applyNumberFormat="1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3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64" fontId="16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25" fillId="2" borderId="0" xfId="0" applyNumberFormat="1" applyFont="1" applyFill="1" applyAlignment="1">
      <alignment horizontal="center" vertical="center"/>
    </xf>
    <xf numFmtId="164" fontId="25" fillId="2" borderId="1" xfId="0" applyNumberFormat="1" applyFont="1" applyFill="1" applyBorder="1" applyAlignment="1">
      <alignment horizontal="center" vertical="center"/>
    </xf>
    <xf numFmtId="164" fontId="26" fillId="2" borderId="0" xfId="0" applyNumberFormat="1" applyFont="1" applyFill="1" applyAlignment="1">
      <alignment horizontal="center" vertical="center"/>
    </xf>
    <xf numFmtId="164" fontId="26" fillId="2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10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26" fillId="2" borderId="7" xfId="0" applyNumberFormat="1" applyFont="1" applyFill="1" applyBorder="1" applyAlignment="1">
      <alignment horizontal="center" vertical="center"/>
    </xf>
    <xf numFmtId="164" fontId="26" fillId="2" borderId="4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8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4" xfId="0" applyFont="1" applyFill="1" applyBorder="1" applyAlignment="1">
      <alignment horizontal="center" vertical="center"/>
    </xf>
    <xf numFmtId="1" fontId="19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2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66"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  <fill>
        <patternFill patternType="solid">
          <bgColor rgb="FFFFF6E5"/>
        </patternFill>
      </fill>
    </dxf>
    <dxf>
      <font>
        <b/>
        <i val="0"/>
        <color rgb="FF00B050"/>
      </font>
      <fill>
        <patternFill patternType="solid">
          <bgColor rgb="FFFFF6E5"/>
        </patternFill>
      </fill>
    </dxf>
    <dxf>
      <font>
        <b/>
        <i val="0"/>
        <color rgb="FF00B050"/>
      </font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0\ &quot;Min.&quot;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theme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 Semibold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 Semibold"/>
        <family val="2"/>
        <scheme val="none"/>
      </font>
      <numFmt numFmtId="164" formatCode="d\-m;@"/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theme="0" tint="-0.14996795556505021"/>
          <bgColor theme="0" tint="-4.9989318521683403E-2"/>
        </patternFill>
      </fill>
    </dxf>
    <dxf>
      <fill>
        <patternFill patternType="solid">
          <fgColor theme="0" tint="-0.14996795556505021"/>
          <bgColor theme="0" tint="-4.9989318521683403E-2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0" tint="-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1"/>
      </font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</dxfs>
  <tableStyles count="1" defaultTableStyle="TableStyleMedium2" defaultPivotStyle="PivotStyleLight16">
    <tableStyle name="TableStyleMedium16 2" pivot="0" count="7" xr9:uid="{ED0B08F5-D88D-43C1-9C50-AE51202FA04E}">
      <tableStyleElement type="wholeTable" dxfId="65"/>
      <tableStyleElement type="headerRow" dxfId="64"/>
      <tableStyleElement type="totalRow" dxfId="63"/>
      <tableStyleElement type="firstColumn" dxfId="62"/>
      <tableStyleElement type="lastColumn" dxfId="61"/>
      <tableStyleElement type="firstRowStripe" dxfId="60"/>
      <tableStyleElement type="firstColumnStripe" dxfId="59"/>
    </tableStyle>
  </tableStyles>
  <colors>
    <mruColors>
      <color rgb="FF07A2AD"/>
      <color rgb="FF3B82F6"/>
      <color rgb="FFDBEAFE"/>
      <color rgb="FFF97316"/>
      <color rgb="FFFFEDD5"/>
      <color rgb="FFEAB308"/>
      <color rgb="FFFEF9C3"/>
      <color rgb="FF22C55E"/>
      <color rgb="FFDCFCE7"/>
      <color rgb="FFFFEE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1" xr16:uid="{E9E44C6A-7C4B-4315-99F8-AAFC12527D2C}" autoFormatId="16" applyNumberFormats="0" applyBorderFormats="0" applyFontFormats="0" applyPatternFormats="0" applyAlignmentFormats="0" applyWidthHeightFormats="0">
  <queryTableRefresh nextId="30">
    <queryTableFields count="10">
      <queryTableField id="2" name="Tipo" tableColumnId="2"/>
      <queryTableField id="12" name="Tarea" tableColumnId="3"/>
      <queryTableField id="17" name="Notas" tableColumnId="1"/>
      <queryTableField id="18" name="Solicitada por" tableColumnId="4"/>
      <queryTableField id="19" name="Prioridad" tableColumnId="5"/>
      <queryTableField id="6" name="Estado" tableColumnId="6"/>
      <queryTableField id="8" name="Tiempo estimado" tableColumnId="8"/>
      <queryTableField id="9" name="Tiempo real" tableColumnId="9"/>
      <queryTableField id="25" name="Fecha Solicitud" tableColumnId="11"/>
      <queryTableField id="20" name="Deadline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F81DF0-16F0-48C4-9229-D5EB55BF162D}" name="TareasRutinarias" displayName="TareasRutinarias" ref="B8:AI51" totalsRowShown="0" headerRowDxfId="58" dataDxfId="57">
  <tableColumns count="34">
    <tableColumn id="1" xr3:uid="{A5749226-A703-48DF-BA54-0861B4940C80}" name="#" dataDxfId="56">
      <calculatedColumnFormula>ROW()-8</calculatedColumnFormula>
    </tableColumn>
    <tableColumn id="2" xr3:uid="{1F65CEFC-AF1A-48EE-92CB-FFBD297CAEAB}" name="Tipo" dataDxfId="55"/>
    <tableColumn id="3" xr3:uid="{8AA095BC-E72C-433E-88C4-93DDA7F4DDED}" name="Tareas" dataDxfId="54"/>
    <tableColumn id="35" xr3:uid="{319DAB0A-7B0A-4F8C-A4A6-E09E24D077DF}" name="Comentarios" dataDxfId="53"/>
    <tableColumn id="4" xr3:uid="{85966A17-9F7F-4583-B080-3F7065A5A883}" name="1-6" dataDxfId="52"/>
    <tableColumn id="5" xr3:uid="{AA2E6674-DFE5-4D15-A12D-3AB565C71558}" name="2-6" dataDxfId="51"/>
    <tableColumn id="6" xr3:uid="{75321E56-3F63-4495-9F25-5CB1FEC90F60}" name="3-6" dataDxfId="50"/>
    <tableColumn id="7" xr3:uid="{70895A78-9D45-45B7-8D6C-D275DBDE6053}" name="4-6" dataDxfId="49"/>
    <tableColumn id="8" xr3:uid="{1D889C9E-1A97-4F84-B604-175F6C0A42AF}" name="5-6" dataDxfId="48"/>
    <tableColumn id="9" xr3:uid="{25690A31-15E0-408B-8627-7F9B034AC62A}" name="6-6" dataDxfId="47"/>
    <tableColumn id="10" xr3:uid="{ABF04856-46E7-44D3-8CBF-C32D9D3B3943}" name="7-6" dataDxfId="46"/>
    <tableColumn id="11" xr3:uid="{85AE81D3-5F12-4AB9-90C5-F8C82CA02761}" name="8-6" dataDxfId="45"/>
    <tableColumn id="12" xr3:uid="{5096E15A-11BB-48FE-8D13-EE73CBFE5B8C}" name="9-6" dataDxfId="44"/>
    <tableColumn id="13" xr3:uid="{8168651C-6BB5-40F8-A88B-9F560109BCF1}" name="10-6" dataDxfId="43"/>
    <tableColumn id="14" xr3:uid="{AD661B0C-31CA-4531-88FA-9A86BAC8B25C}" name="11-6" dataDxfId="42"/>
    <tableColumn id="15" xr3:uid="{0791B369-975B-4A8E-B05C-07F332A41C01}" name="12-6" dataDxfId="41"/>
    <tableColumn id="16" xr3:uid="{9434316A-AFC3-4F8C-8FD9-E1714CF4A7D9}" name="13-6" dataDxfId="40"/>
    <tableColumn id="17" xr3:uid="{34F8382B-41F7-4310-9BBC-F080B8280D2B}" name="14-6" dataDxfId="39"/>
    <tableColumn id="18" xr3:uid="{B2F6A918-8320-4D5A-AD05-7CAEC752D020}" name="15-6" dataDxfId="38"/>
    <tableColumn id="19" xr3:uid="{60EEBBE0-5FB2-40F1-AC2B-8B9CCC0E87FE}" name="16-6" dataDxfId="37"/>
    <tableColumn id="20" xr3:uid="{140888CA-6EFB-450F-B041-5EE5081B59AC}" name="17-6" dataDxfId="36"/>
    <tableColumn id="21" xr3:uid="{42685820-0826-40FC-8E5A-CC1160CA9505}" name="18-6" dataDxfId="35"/>
    <tableColumn id="22" xr3:uid="{959D19C8-E08E-4951-9D10-0DDB1C95F09D}" name="19-6" dataDxfId="34"/>
    <tableColumn id="23" xr3:uid="{6134205A-A658-4E08-A801-6EDB14807937}" name="20-6" dataDxfId="33"/>
    <tableColumn id="24" xr3:uid="{C107853A-2D58-4F2A-A620-131EA6C9194E}" name="21-6" dataDxfId="32"/>
    <tableColumn id="25" xr3:uid="{355F1730-6FD5-4431-9C66-E158CCDD6D3C}" name="22-6" dataDxfId="31"/>
    <tableColumn id="26" xr3:uid="{97B57948-FDB7-422F-9DA1-4DE6D32A6946}" name="23-6" dataDxfId="30"/>
    <tableColumn id="27" xr3:uid="{F3266A5C-C128-4068-8250-463EF44C0388}" name="24-6" dataDxfId="29"/>
    <tableColumn id="28" xr3:uid="{53CDBC75-9DA8-4814-BFFA-5079885F2530}" name="25-6" dataDxfId="28"/>
    <tableColumn id="29" xr3:uid="{954C707A-9523-4197-925D-4DC018147540}" name="26-6" dataDxfId="27"/>
    <tableColumn id="30" xr3:uid="{894B0B17-FC76-44DC-B043-311B07BD9058}" name="27-6" dataDxfId="26"/>
    <tableColumn id="31" xr3:uid="{557436DF-2326-4822-B30B-4E7C828ABDE9}" name="28-6" dataDxfId="25"/>
    <tableColumn id="32" xr3:uid="{64D3B3F0-96D7-423C-B2C2-BE819428CB6C}" name="29-6" dataDxfId="24"/>
    <tableColumn id="34" xr3:uid="{75A65709-C4D6-4CBF-910E-8783CEE74B46}" name="30-6" dataDxfId="2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5CEB85-679E-4E73-BA59-96ED8CFE400C}" name="Tiempo" displayName="Tiempo" ref="B5:D48" totalsRowShown="0" headerRowDxfId="22" dataDxfId="21">
  <tableColumns count="3">
    <tableColumn id="1" xr3:uid="{FA0D749E-3D34-4345-85B9-1428CB02031F}" name="#" dataDxfId="20">
      <calculatedColumnFormula>ROW()-5</calculatedColumnFormula>
    </tableColumn>
    <tableColumn id="3" xr3:uid="{96E3BC39-B486-4AC4-A176-FB8ED072196F}" name="Tareas" dataDxfId="19"/>
    <tableColumn id="8" xr3:uid="{F7FDE891-AE36-426C-9E39-B3384185D3E6}" name="Tiempo estimado" dataDxfId="18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3EB0FE-E4A2-47F8-A759-3551185CA894}" name="Tareas" displayName="Tareas" ref="B5:K368" tableType="queryTable" totalsRowShown="0" headerRowDxfId="17" dataDxfId="16">
  <tableColumns count="10">
    <tableColumn id="2" xr3:uid="{47E87CDA-5FA3-4448-B3A5-5D07CFF34FA4}" uniqueName="2" name="Tipo" queryTableFieldId="2" dataDxfId="9"/>
    <tableColumn id="3" xr3:uid="{0203BE4F-3D1A-4803-AEC8-DDB2384E883A}" uniqueName="3" name="Tarea" queryTableFieldId="12" dataDxfId="8"/>
    <tableColumn id="1" xr3:uid="{66BA08BB-FB0A-45B1-B6A1-4821508A4CB5}" uniqueName="1" name="Notas" queryTableFieldId="17" dataDxfId="7"/>
    <tableColumn id="4" xr3:uid="{C06392B8-725C-4B45-B246-FD89248665DE}" uniqueName="4" name="Solicitada por" queryTableFieldId="18" dataDxfId="6"/>
    <tableColumn id="5" xr3:uid="{144B008C-C122-4B85-8277-23A0A6F65B91}" uniqueName="5" name="Prioridad" queryTableFieldId="19" dataDxfId="5"/>
    <tableColumn id="6" xr3:uid="{7EC6A8A5-15E3-4F20-8A24-575317D56BBC}" uniqueName="6" name="Estado" queryTableFieldId="6" dataDxfId="4"/>
    <tableColumn id="8" xr3:uid="{442C610D-A554-407C-96D7-AFADDE5E7FA3}" uniqueName="8" name="Tiempo estimado" queryTableFieldId="8" dataDxfId="3"/>
    <tableColumn id="9" xr3:uid="{05C3BC26-2C03-486B-ADDA-5FB697A3E7F7}" uniqueName="9" name="Tiempo real" queryTableFieldId="9" dataDxfId="2"/>
    <tableColumn id="11" xr3:uid="{F96AE010-7131-4648-B49D-FDD8BDD5D47F}" uniqueName="11" name="Fecha Solicitud" queryTableFieldId="25" dataDxfId="1"/>
    <tableColumn id="7" xr3:uid="{9F76700C-53CB-4ABB-B2FC-D1B0D11212F8}" uniqueName="7" name="Deadline" queryTableFieldId="20" dataDxfId="0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F624-DB10-4D4A-AD18-5EC2C13BFDD8}">
  <sheetPr>
    <pageSetUpPr fitToPage="1"/>
  </sheetPr>
  <dimension ref="B2:AN62"/>
  <sheetViews>
    <sheetView showGridLines="0" tabSelected="1" zoomScaleNormal="100" workbookViewId="0"/>
  </sheetViews>
  <sheetFormatPr baseColWidth="10" defaultColWidth="11.42578125" defaultRowHeight="18.75" customHeight="1" x14ac:dyDescent="0.25"/>
  <cols>
    <col min="1" max="2" width="5.5703125" style="1" customWidth="1"/>
    <col min="3" max="3" width="10" style="1" customWidth="1"/>
    <col min="4" max="4" width="78.5703125" style="1" customWidth="1"/>
    <col min="5" max="5" width="67.140625" style="1" hidden="1" customWidth="1"/>
    <col min="6" max="35" width="5.5703125" style="1" customWidth="1"/>
    <col min="36" max="36" width="5.5703125" style="5" customWidth="1"/>
    <col min="37" max="37" width="8.5703125" style="1" customWidth="1"/>
    <col min="38" max="16384" width="11.42578125" style="1"/>
  </cols>
  <sheetData>
    <row r="2" spans="2:40" ht="37.5" x14ac:dyDescent="0.25">
      <c r="B2" s="27" t="s">
        <v>130</v>
      </c>
    </row>
    <row r="3" spans="2:40" ht="18.75" customHeight="1" x14ac:dyDescent="0.25">
      <c r="B3" s="28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</row>
    <row r="4" spans="2:40" ht="18.75" customHeight="1" x14ac:dyDescent="0.25"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</row>
    <row r="5" spans="2:40" s="15" customFormat="1" ht="18.75" customHeight="1" x14ac:dyDescent="0.25">
      <c r="F5" s="70">
        <f>COUNTA(F8:L8)-COUNTBLANK(F9:L9)</f>
        <v>2</v>
      </c>
      <c r="G5" s="70"/>
      <c r="H5" s="70"/>
      <c r="I5" s="70"/>
      <c r="J5" s="70"/>
      <c r="K5" s="70"/>
      <c r="L5" s="70"/>
      <c r="M5" s="70">
        <f>COUNTA(M8:S8)-COUNTBLANK(M9:S9)</f>
        <v>5</v>
      </c>
      <c r="N5" s="70"/>
      <c r="O5" s="70"/>
      <c r="P5" s="70"/>
      <c r="Q5" s="70"/>
      <c r="R5" s="70"/>
      <c r="S5" s="70"/>
      <c r="T5" s="70">
        <f>COUNTA(T8:Z8)-COUNTBLANK(T9:Z9)</f>
        <v>5</v>
      </c>
      <c r="U5" s="70"/>
      <c r="V5" s="70"/>
      <c r="W5" s="70"/>
      <c r="X5" s="70"/>
      <c r="Y5" s="70"/>
      <c r="Z5" s="70"/>
      <c r="AA5" s="70">
        <f>COUNTA(AA8:AG8)-COUNTBLANK(AA9:AG9)</f>
        <v>5</v>
      </c>
      <c r="AB5" s="70"/>
      <c r="AC5" s="70"/>
      <c r="AD5" s="70"/>
      <c r="AE5" s="70"/>
      <c r="AF5" s="70"/>
      <c r="AG5" s="70"/>
      <c r="AH5" s="70">
        <f>COUNTA(AH8:AI8)-COUNTBLANK(AH9:AI9)</f>
        <v>2</v>
      </c>
      <c r="AI5" s="70"/>
      <c r="AJ5" s="19"/>
      <c r="AK5" s="19"/>
      <c r="AL5" s="19"/>
      <c r="AM5" s="19"/>
      <c r="AN5" s="19"/>
    </row>
    <row r="6" spans="2:40" s="5" customFormat="1" ht="18.75" customHeight="1" x14ac:dyDescent="0.25">
      <c r="B6" s="3"/>
      <c r="C6" s="3"/>
      <c r="D6" s="3"/>
      <c r="E6" s="3"/>
      <c r="F6" s="30">
        <f>(COUNTA($B:$B)-2)-COUNTBLANK(F9:F51)</f>
        <v>0</v>
      </c>
      <c r="G6" s="30">
        <f>(COUNTA($B:$B)-2)-COUNTBLANK(G9:G51)</f>
        <v>0</v>
      </c>
      <c r="H6" s="30">
        <f>(COUNTA($B:$B)-2)-COUNTBLANK(H9:H51)</f>
        <v>0</v>
      </c>
      <c r="I6" s="30">
        <f>(COUNTA($B:$B)-2)-COUNTBLANK(I9:I51)</f>
        <v>31</v>
      </c>
      <c r="J6" s="30">
        <f>(COUNTA($B:$B)-2)-COUNTBLANK(J9:J51)</f>
        <v>17</v>
      </c>
      <c r="K6" s="30">
        <f>(COUNTA($B:$B)-2)-COUNTBLANK(K9:K51)</f>
        <v>0</v>
      </c>
      <c r="L6" s="30">
        <f>(COUNTA($B:$B)-2)-COUNTBLANK(L9:L51)</f>
        <v>0</v>
      </c>
      <c r="M6" s="30">
        <f>(COUNTA($B:$B)-2)-COUNTBLANK(M9:M51)</f>
        <v>20</v>
      </c>
      <c r="N6" s="30">
        <f>(COUNTA($B:$B)-2)-COUNTBLANK(N9:N51)</f>
        <v>17</v>
      </c>
      <c r="O6" s="30">
        <f>(COUNTA($B:$B)-2)-COUNTBLANK(O9:O51)</f>
        <v>18</v>
      </c>
      <c r="P6" s="30">
        <f>(COUNTA($B:$B)-2)-COUNTBLANK(P9:P51)</f>
        <v>17</v>
      </c>
      <c r="Q6" s="30">
        <f>(COUNTA($B:$B)-2)-COUNTBLANK(Q9:Q51)</f>
        <v>17</v>
      </c>
      <c r="R6" s="30">
        <f>(COUNTA($B:$B)-2)-COUNTBLANK(R9:R51)</f>
        <v>0</v>
      </c>
      <c r="S6" s="30">
        <f>(COUNTA($B:$B)-2)-COUNTBLANK(S9:S51)</f>
        <v>0</v>
      </c>
      <c r="T6" s="30">
        <f>(COUNTA($B:$B)-2)-COUNTBLANK(T9:T51)</f>
        <v>21</v>
      </c>
      <c r="U6" s="30">
        <f>(COUNTA($B:$B)-2)-COUNTBLANK(U9:U51)</f>
        <v>17</v>
      </c>
      <c r="V6" s="30">
        <f>(COUNTA($B:$B)-2)-COUNTBLANK(V9:V51)</f>
        <v>18</v>
      </c>
      <c r="W6" s="30">
        <f>(COUNTA($B:$B)-2)-COUNTBLANK(W9:W51)</f>
        <v>17</v>
      </c>
      <c r="X6" s="30">
        <f>(COUNTA($B:$B)-2)-COUNTBLANK(X9:X51)</f>
        <v>17</v>
      </c>
      <c r="Y6" s="30">
        <f>(COUNTA($B:$B)-2)-COUNTBLANK(Y9:Y51)</f>
        <v>0</v>
      </c>
      <c r="Z6" s="30">
        <f>(COUNTA($B:$B)-2)-COUNTBLANK(Z9:Z51)</f>
        <v>0</v>
      </c>
      <c r="AA6" s="30">
        <f>(COUNTA($B:$B)-2)-COUNTBLANK(AA9:AA51)</f>
        <v>20</v>
      </c>
      <c r="AB6" s="30">
        <f>(COUNTA($B:$B)-2)-COUNTBLANK(AB9:AB51)</f>
        <v>17</v>
      </c>
      <c r="AC6" s="30">
        <f>(COUNTA($B:$B)-2)-COUNTBLANK(AC9:AC51)</f>
        <v>18</v>
      </c>
      <c r="AD6" s="30">
        <f>(COUNTA($B:$B)-2)-COUNTBLANK(AD9:AD51)</f>
        <v>18</v>
      </c>
      <c r="AE6" s="30">
        <f>(COUNTA($B:$B)-2)-COUNTBLANK(AE9:AE51)</f>
        <v>18</v>
      </c>
      <c r="AF6" s="30">
        <f>(COUNTA($B:$B)-2)-COUNTBLANK(AF9:AF51)</f>
        <v>2</v>
      </c>
      <c r="AG6" s="30">
        <f>(COUNTA($B:$B)-2)-COUNTBLANK(AG9:AG51)</f>
        <v>0</v>
      </c>
      <c r="AH6" s="30">
        <f>(COUNTA($B:$B)-2)-COUNTBLANK(AH9:AH51)</f>
        <v>20</v>
      </c>
      <c r="AI6" s="30">
        <f>(COUNTA($B:$B)-2)-COUNTBLANK(AI9:AI51)</f>
        <v>23</v>
      </c>
      <c r="AJ6" s="31"/>
      <c r="AK6" s="3"/>
    </row>
    <row r="7" spans="2:40" ht="18.75" customHeight="1" x14ac:dyDescent="0.25">
      <c r="B7" s="4"/>
      <c r="C7" s="4"/>
      <c r="D7" s="12"/>
      <c r="E7" s="35"/>
      <c r="F7" s="39" t="s">
        <v>2</v>
      </c>
      <c r="G7" s="39" t="s">
        <v>3</v>
      </c>
      <c r="H7" s="39" t="s">
        <v>4</v>
      </c>
      <c r="I7" s="41" t="s">
        <v>5</v>
      </c>
      <c r="J7" s="41" t="s">
        <v>6</v>
      </c>
      <c r="K7" s="29" t="s">
        <v>0</v>
      </c>
      <c r="L7" s="29" t="s">
        <v>1</v>
      </c>
      <c r="M7" s="65" t="s">
        <v>2</v>
      </c>
      <c r="N7" s="41" t="s">
        <v>3</v>
      </c>
      <c r="O7" s="41" t="s">
        <v>4</v>
      </c>
      <c r="P7" s="41" t="s">
        <v>5</v>
      </c>
      <c r="Q7" s="41" t="s">
        <v>6</v>
      </c>
      <c r="R7" s="29" t="s">
        <v>0</v>
      </c>
      <c r="S7" s="29" t="s">
        <v>1</v>
      </c>
      <c r="T7" s="65" t="s">
        <v>2</v>
      </c>
      <c r="U7" s="41" t="s">
        <v>3</v>
      </c>
      <c r="V7" s="41" t="s">
        <v>4</v>
      </c>
      <c r="W7" s="41" t="s">
        <v>5</v>
      </c>
      <c r="X7" s="41" t="s">
        <v>6</v>
      </c>
      <c r="Y7" s="29" t="s">
        <v>0</v>
      </c>
      <c r="Z7" s="29" t="s">
        <v>1</v>
      </c>
      <c r="AA7" s="65" t="s">
        <v>2</v>
      </c>
      <c r="AB7" s="41" t="s">
        <v>3</v>
      </c>
      <c r="AC7" s="41" t="s">
        <v>4</v>
      </c>
      <c r="AD7" s="41" t="s">
        <v>5</v>
      </c>
      <c r="AE7" s="41" t="s">
        <v>6</v>
      </c>
      <c r="AF7" s="29" t="s">
        <v>0</v>
      </c>
      <c r="AG7" s="29" t="s">
        <v>1</v>
      </c>
      <c r="AH7" s="65" t="s">
        <v>2</v>
      </c>
      <c r="AI7" s="41" t="s">
        <v>3</v>
      </c>
      <c r="AJ7" s="3"/>
      <c r="AK7" s="4"/>
    </row>
    <row r="8" spans="2:40" ht="18.75" customHeight="1" x14ac:dyDescent="0.25">
      <c r="B8" s="4" t="s">
        <v>25</v>
      </c>
      <c r="C8" s="21" t="s">
        <v>23</v>
      </c>
      <c r="D8" s="22" t="s">
        <v>22</v>
      </c>
      <c r="E8" s="36" t="s">
        <v>24</v>
      </c>
      <c r="F8" s="40" t="s">
        <v>100</v>
      </c>
      <c r="G8" s="40" t="s">
        <v>101</v>
      </c>
      <c r="H8" s="40" t="s">
        <v>102</v>
      </c>
      <c r="I8" s="42" t="s">
        <v>103</v>
      </c>
      <c r="J8" s="42" t="s">
        <v>104</v>
      </c>
      <c r="K8" s="16" t="s">
        <v>105</v>
      </c>
      <c r="L8" s="16" t="s">
        <v>106</v>
      </c>
      <c r="M8" s="66" t="s">
        <v>107</v>
      </c>
      <c r="N8" s="42" t="s">
        <v>108</v>
      </c>
      <c r="O8" s="42" t="s">
        <v>109</v>
      </c>
      <c r="P8" s="42" t="s">
        <v>110</v>
      </c>
      <c r="Q8" s="42" t="s">
        <v>111</v>
      </c>
      <c r="R8" s="16" t="s">
        <v>112</v>
      </c>
      <c r="S8" s="16" t="s">
        <v>113</v>
      </c>
      <c r="T8" s="66" t="s">
        <v>114</v>
      </c>
      <c r="U8" s="42" t="s">
        <v>115</v>
      </c>
      <c r="V8" s="42" t="s">
        <v>116</v>
      </c>
      <c r="W8" s="42" t="s">
        <v>117</v>
      </c>
      <c r="X8" s="42" t="s">
        <v>118</v>
      </c>
      <c r="Y8" s="16" t="s">
        <v>119</v>
      </c>
      <c r="Z8" s="16" t="s">
        <v>120</v>
      </c>
      <c r="AA8" s="66" t="s">
        <v>121</v>
      </c>
      <c r="AB8" s="42" t="s">
        <v>122</v>
      </c>
      <c r="AC8" s="42" t="s">
        <v>123</v>
      </c>
      <c r="AD8" s="42" t="s">
        <v>124</v>
      </c>
      <c r="AE8" s="42" t="s">
        <v>125</v>
      </c>
      <c r="AF8" s="16" t="s">
        <v>126</v>
      </c>
      <c r="AG8" s="16" t="s">
        <v>127</v>
      </c>
      <c r="AH8" s="66" t="s">
        <v>128</v>
      </c>
      <c r="AI8" s="42" t="s">
        <v>129</v>
      </c>
      <c r="AJ8" s="3"/>
      <c r="AK8" s="4"/>
    </row>
    <row r="9" spans="2:40" ht="18.75" customHeight="1" x14ac:dyDescent="0.25">
      <c r="B9" s="8">
        <f>ROW()-8</f>
        <v>1</v>
      </c>
      <c r="C9" s="4" t="s">
        <v>95</v>
      </c>
      <c r="D9" s="12" t="s">
        <v>17</v>
      </c>
      <c r="E9" s="35"/>
      <c r="F9" s="2"/>
      <c r="G9" s="2"/>
      <c r="H9" s="2"/>
      <c r="I9" s="33" t="b">
        <v>0</v>
      </c>
      <c r="J9" s="33" t="b">
        <v>0</v>
      </c>
      <c r="K9" s="2"/>
      <c r="L9" s="2"/>
      <c r="M9" s="67" t="b">
        <v>0</v>
      </c>
      <c r="N9" s="33" t="b">
        <v>0</v>
      </c>
      <c r="O9" s="33" t="b">
        <v>0</v>
      </c>
      <c r="P9" s="33" t="b">
        <v>0</v>
      </c>
      <c r="Q9" s="33" t="b">
        <v>0</v>
      </c>
      <c r="R9" s="2"/>
      <c r="S9" s="2"/>
      <c r="T9" s="67" t="b">
        <v>0</v>
      </c>
      <c r="U9" s="33" t="b">
        <v>0</v>
      </c>
      <c r="V9" s="33" t="b">
        <v>0</v>
      </c>
      <c r="W9" s="33" t="b">
        <v>0</v>
      </c>
      <c r="X9" s="33" t="b">
        <v>0</v>
      </c>
      <c r="Y9" s="2"/>
      <c r="Z9" s="2"/>
      <c r="AA9" s="67" t="b">
        <v>0</v>
      </c>
      <c r="AB9" s="33" t="b">
        <v>0</v>
      </c>
      <c r="AC9" s="33" t="b">
        <v>0</v>
      </c>
      <c r="AD9" s="33" t="b">
        <v>0</v>
      </c>
      <c r="AE9" s="33" t="b">
        <v>0</v>
      </c>
      <c r="AF9" s="2"/>
      <c r="AG9" s="2"/>
      <c r="AH9" s="67" t="b">
        <v>0</v>
      </c>
      <c r="AI9" s="64" t="b">
        <v>0</v>
      </c>
      <c r="AJ9" s="32">
        <f>COUNTA($F$8:$AI$8)-COUNTBLANK(F9:AI9)</f>
        <v>19</v>
      </c>
      <c r="AK9" s="4"/>
    </row>
    <row r="10" spans="2:40" ht="18.75" customHeight="1" x14ac:dyDescent="0.25">
      <c r="B10" s="8">
        <f t="shared" ref="B10:B51" si="0">ROW()-8</f>
        <v>2</v>
      </c>
      <c r="C10" s="4" t="s">
        <v>95</v>
      </c>
      <c r="D10" s="12" t="s">
        <v>60</v>
      </c>
      <c r="E10" s="35"/>
      <c r="F10" s="2"/>
      <c r="G10" s="2"/>
      <c r="H10" s="2"/>
      <c r="I10" s="33" t="b">
        <v>0</v>
      </c>
      <c r="J10" s="33" t="b">
        <v>0</v>
      </c>
      <c r="K10" s="2"/>
      <c r="L10" s="2"/>
      <c r="M10" s="67" t="b">
        <v>0</v>
      </c>
      <c r="N10" s="33" t="b">
        <v>0</v>
      </c>
      <c r="O10" s="33" t="b">
        <v>0</v>
      </c>
      <c r="P10" s="33" t="b">
        <v>0</v>
      </c>
      <c r="Q10" s="33" t="b">
        <v>0</v>
      </c>
      <c r="R10" s="2"/>
      <c r="S10" s="2"/>
      <c r="T10" s="67" t="b">
        <v>0</v>
      </c>
      <c r="U10" s="33" t="b">
        <v>0</v>
      </c>
      <c r="V10" s="33" t="b">
        <v>0</v>
      </c>
      <c r="W10" s="33" t="b">
        <v>0</v>
      </c>
      <c r="X10" s="33" t="b">
        <v>0</v>
      </c>
      <c r="Y10" s="2"/>
      <c r="Z10" s="2"/>
      <c r="AA10" s="67" t="b">
        <v>0</v>
      </c>
      <c r="AB10" s="33" t="b">
        <v>0</v>
      </c>
      <c r="AC10" s="33" t="b">
        <v>0</v>
      </c>
      <c r="AD10" s="33" t="b">
        <v>0</v>
      </c>
      <c r="AE10" s="33" t="b">
        <v>0</v>
      </c>
      <c r="AF10" s="2"/>
      <c r="AG10" s="2"/>
      <c r="AH10" s="67" t="b">
        <v>0</v>
      </c>
      <c r="AI10" s="43" t="b">
        <v>0</v>
      </c>
      <c r="AJ10" s="32">
        <f t="shared" ref="AJ10:AJ37" si="1">COUNTA($F$8:$AI$8)-COUNTBLANK(F10:AI10)</f>
        <v>19</v>
      </c>
      <c r="AK10" s="4"/>
    </row>
    <row r="11" spans="2:40" ht="18.75" customHeight="1" x14ac:dyDescent="0.25">
      <c r="B11" s="8">
        <f t="shared" si="0"/>
        <v>3</v>
      </c>
      <c r="C11" s="4" t="s">
        <v>95</v>
      </c>
      <c r="D11" s="12" t="s">
        <v>61</v>
      </c>
      <c r="E11" s="35"/>
      <c r="F11" s="2"/>
      <c r="G11" s="2"/>
      <c r="H11" s="2"/>
      <c r="I11" s="33" t="b">
        <v>0</v>
      </c>
      <c r="J11" s="33" t="b">
        <v>0</v>
      </c>
      <c r="K11" s="2"/>
      <c r="L11" s="2"/>
      <c r="M11" s="67" t="b">
        <v>0</v>
      </c>
      <c r="N11" s="33" t="b">
        <v>0</v>
      </c>
      <c r="O11" s="33" t="b">
        <v>0</v>
      </c>
      <c r="P11" s="33" t="b">
        <v>0</v>
      </c>
      <c r="Q11" s="33" t="b">
        <v>0</v>
      </c>
      <c r="R11" s="2"/>
      <c r="S11" s="2"/>
      <c r="T11" s="67" t="b">
        <v>0</v>
      </c>
      <c r="U11" s="33" t="b">
        <v>0</v>
      </c>
      <c r="V11" s="33" t="b">
        <v>0</v>
      </c>
      <c r="W11" s="33" t="b">
        <v>0</v>
      </c>
      <c r="X11" s="33" t="b">
        <v>0</v>
      </c>
      <c r="Y11" s="2"/>
      <c r="Z11" s="2"/>
      <c r="AA11" s="67" t="b">
        <v>0</v>
      </c>
      <c r="AB11" s="33" t="b">
        <v>0</v>
      </c>
      <c r="AC11" s="33" t="b">
        <v>0</v>
      </c>
      <c r="AD11" s="33" t="b">
        <v>0</v>
      </c>
      <c r="AE11" s="33" t="b">
        <v>0</v>
      </c>
      <c r="AF11" s="2"/>
      <c r="AG11" s="2"/>
      <c r="AH11" s="67" t="b">
        <v>0</v>
      </c>
      <c r="AI11" s="43" t="b">
        <v>0</v>
      </c>
      <c r="AJ11" s="32">
        <f t="shared" si="1"/>
        <v>19</v>
      </c>
      <c r="AK11" s="3"/>
    </row>
    <row r="12" spans="2:40" ht="18.75" customHeight="1" x14ac:dyDescent="0.25">
      <c r="B12" s="8">
        <f t="shared" si="0"/>
        <v>4</v>
      </c>
      <c r="C12" s="4" t="s">
        <v>95</v>
      </c>
      <c r="D12" s="12" t="s">
        <v>62</v>
      </c>
      <c r="E12" s="35"/>
      <c r="F12" s="2"/>
      <c r="G12" s="2"/>
      <c r="H12" s="2"/>
      <c r="I12" s="33" t="b">
        <v>0</v>
      </c>
      <c r="J12" s="33" t="b">
        <v>0</v>
      </c>
      <c r="K12" s="2"/>
      <c r="L12" s="2"/>
      <c r="M12" s="67" t="b">
        <v>0</v>
      </c>
      <c r="N12" s="33" t="b">
        <v>0</v>
      </c>
      <c r="O12" s="33" t="b">
        <v>0</v>
      </c>
      <c r="P12" s="33" t="b">
        <v>0</v>
      </c>
      <c r="Q12" s="33" t="b">
        <v>0</v>
      </c>
      <c r="R12" s="2"/>
      <c r="S12" s="2"/>
      <c r="T12" s="67" t="b">
        <v>0</v>
      </c>
      <c r="U12" s="33" t="b">
        <v>0</v>
      </c>
      <c r="V12" s="33" t="b">
        <v>0</v>
      </c>
      <c r="W12" s="33" t="b">
        <v>0</v>
      </c>
      <c r="X12" s="33" t="b">
        <v>0</v>
      </c>
      <c r="Y12" s="2"/>
      <c r="Z12" s="2"/>
      <c r="AA12" s="67" t="b">
        <v>0</v>
      </c>
      <c r="AB12" s="33" t="b">
        <v>0</v>
      </c>
      <c r="AC12" s="33" t="b">
        <v>0</v>
      </c>
      <c r="AD12" s="33" t="b">
        <v>0</v>
      </c>
      <c r="AE12" s="33" t="b">
        <v>0</v>
      </c>
      <c r="AF12" s="2"/>
      <c r="AG12" s="2"/>
      <c r="AH12" s="67" t="b">
        <v>0</v>
      </c>
      <c r="AI12" s="43" t="b">
        <v>0</v>
      </c>
      <c r="AJ12" s="32">
        <f t="shared" si="1"/>
        <v>19</v>
      </c>
      <c r="AK12" s="3"/>
    </row>
    <row r="13" spans="2:40" ht="18.75" customHeight="1" x14ac:dyDescent="0.25">
      <c r="B13" s="8">
        <f t="shared" si="0"/>
        <v>5</v>
      </c>
      <c r="C13" s="4" t="s">
        <v>95</v>
      </c>
      <c r="D13" s="12" t="s">
        <v>63</v>
      </c>
      <c r="E13" s="35"/>
      <c r="F13" s="2"/>
      <c r="G13" s="2"/>
      <c r="H13" s="2"/>
      <c r="I13" s="33" t="b">
        <v>0</v>
      </c>
      <c r="J13" s="33" t="b">
        <v>0</v>
      </c>
      <c r="K13" s="2"/>
      <c r="L13" s="2"/>
      <c r="M13" s="67" t="b">
        <v>0</v>
      </c>
      <c r="N13" s="33" t="b">
        <v>0</v>
      </c>
      <c r="O13" s="33" t="b">
        <v>0</v>
      </c>
      <c r="P13" s="33" t="b">
        <v>0</v>
      </c>
      <c r="Q13" s="33" t="b">
        <v>0</v>
      </c>
      <c r="R13" s="2"/>
      <c r="S13" s="2"/>
      <c r="T13" s="67" t="b">
        <v>0</v>
      </c>
      <c r="U13" s="33" t="b">
        <v>0</v>
      </c>
      <c r="V13" s="33" t="b">
        <v>0</v>
      </c>
      <c r="W13" s="33" t="b">
        <v>0</v>
      </c>
      <c r="X13" s="33" t="b">
        <v>0</v>
      </c>
      <c r="Y13" s="2"/>
      <c r="Z13" s="2"/>
      <c r="AA13" s="67" t="b">
        <v>0</v>
      </c>
      <c r="AB13" s="33" t="b">
        <v>0</v>
      </c>
      <c r="AC13" s="33" t="b">
        <v>0</v>
      </c>
      <c r="AD13" s="33" t="b">
        <v>0</v>
      </c>
      <c r="AE13" s="33" t="b">
        <v>0</v>
      </c>
      <c r="AF13" s="2"/>
      <c r="AG13" s="2"/>
      <c r="AH13" s="67" t="b">
        <v>0</v>
      </c>
      <c r="AI13" s="43" t="b">
        <v>0</v>
      </c>
      <c r="AJ13" s="32">
        <f t="shared" si="1"/>
        <v>19</v>
      </c>
      <c r="AK13" s="3"/>
    </row>
    <row r="14" spans="2:40" ht="18.75" customHeight="1" x14ac:dyDescent="0.25">
      <c r="B14" s="8">
        <f t="shared" si="0"/>
        <v>6</v>
      </c>
      <c r="C14" s="4" t="s">
        <v>95</v>
      </c>
      <c r="D14" s="12" t="s">
        <v>64</v>
      </c>
      <c r="E14" s="35"/>
      <c r="F14" s="2"/>
      <c r="G14" s="2"/>
      <c r="H14" s="2"/>
      <c r="I14" s="33" t="b">
        <v>0</v>
      </c>
      <c r="J14" s="33" t="b">
        <v>0</v>
      </c>
      <c r="K14" s="2"/>
      <c r="L14" s="2"/>
      <c r="M14" s="67" t="b">
        <v>0</v>
      </c>
      <c r="N14" s="33" t="b">
        <v>0</v>
      </c>
      <c r="O14" s="33" t="b">
        <v>0</v>
      </c>
      <c r="P14" s="33" t="b">
        <v>0</v>
      </c>
      <c r="Q14" s="33" t="b">
        <v>0</v>
      </c>
      <c r="R14" s="2"/>
      <c r="S14" s="2"/>
      <c r="T14" s="67" t="b">
        <v>0</v>
      </c>
      <c r="U14" s="33" t="b">
        <v>0</v>
      </c>
      <c r="V14" s="33" t="b">
        <v>0</v>
      </c>
      <c r="W14" s="33" t="b">
        <v>0</v>
      </c>
      <c r="X14" s="33" t="b">
        <v>0</v>
      </c>
      <c r="Y14" s="2"/>
      <c r="Z14" s="2"/>
      <c r="AA14" s="67" t="b">
        <v>0</v>
      </c>
      <c r="AB14" s="33" t="b">
        <v>0</v>
      </c>
      <c r="AC14" s="33" t="b">
        <v>0</v>
      </c>
      <c r="AD14" s="33" t="b">
        <v>0</v>
      </c>
      <c r="AE14" s="33" t="b">
        <v>0</v>
      </c>
      <c r="AF14" s="2"/>
      <c r="AG14" s="2"/>
      <c r="AH14" s="67" t="b">
        <v>0</v>
      </c>
      <c r="AI14" s="43" t="b">
        <v>0</v>
      </c>
      <c r="AJ14" s="32">
        <f t="shared" si="1"/>
        <v>19</v>
      </c>
      <c r="AK14" s="3"/>
    </row>
    <row r="15" spans="2:40" ht="18.75" customHeight="1" x14ac:dyDescent="0.25">
      <c r="B15" s="8">
        <f t="shared" si="0"/>
        <v>7</v>
      </c>
      <c r="C15" s="4" t="s">
        <v>95</v>
      </c>
      <c r="D15" s="12" t="s">
        <v>65</v>
      </c>
      <c r="E15" s="35"/>
      <c r="F15" s="2"/>
      <c r="G15" s="2"/>
      <c r="H15" s="2"/>
      <c r="I15" s="33" t="b">
        <v>0</v>
      </c>
      <c r="J15" s="33" t="b">
        <v>0</v>
      </c>
      <c r="K15" s="2"/>
      <c r="L15" s="2"/>
      <c r="M15" s="67" t="b">
        <v>0</v>
      </c>
      <c r="N15" s="33" t="b">
        <v>0</v>
      </c>
      <c r="O15" s="33" t="b">
        <v>0</v>
      </c>
      <c r="P15" s="33" t="b">
        <v>0</v>
      </c>
      <c r="Q15" s="33" t="b">
        <v>0</v>
      </c>
      <c r="R15" s="2"/>
      <c r="S15" s="2"/>
      <c r="T15" s="67" t="b">
        <v>0</v>
      </c>
      <c r="U15" s="33" t="b">
        <v>0</v>
      </c>
      <c r="V15" s="33" t="b">
        <v>0</v>
      </c>
      <c r="W15" s="33" t="b">
        <v>0</v>
      </c>
      <c r="X15" s="33" t="b">
        <v>0</v>
      </c>
      <c r="Y15" s="2"/>
      <c r="Z15" s="2"/>
      <c r="AA15" s="67" t="b">
        <v>0</v>
      </c>
      <c r="AB15" s="33" t="b">
        <v>0</v>
      </c>
      <c r="AC15" s="33" t="b">
        <v>0</v>
      </c>
      <c r="AD15" s="33" t="b">
        <v>0</v>
      </c>
      <c r="AE15" s="33" t="b">
        <v>0</v>
      </c>
      <c r="AF15" s="2"/>
      <c r="AG15" s="2"/>
      <c r="AH15" s="67" t="b">
        <v>0</v>
      </c>
      <c r="AI15" s="43" t="b">
        <v>0</v>
      </c>
      <c r="AJ15" s="32">
        <f t="shared" si="1"/>
        <v>19</v>
      </c>
      <c r="AK15" s="3"/>
    </row>
    <row r="16" spans="2:40" ht="18.75" customHeight="1" x14ac:dyDescent="0.25">
      <c r="B16" s="8">
        <f t="shared" si="0"/>
        <v>8</v>
      </c>
      <c r="C16" s="4" t="s">
        <v>95</v>
      </c>
      <c r="D16" s="12" t="s">
        <v>66</v>
      </c>
      <c r="E16" s="35"/>
      <c r="F16" s="2"/>
      <c r="G16" s="2"/>
      <c r="H16" s="2"/>
      <c r="I16" s="33" t="b">
        <v>0</v>
      </c>
      <c r="J16" s="33" t="b">
        <v>0</v>
      </c>
      <c r="K16" s="2"/>
      <c r="L16" s="2"/>
      <c r="M16" s="67" t="b">
        <v>0</v>
      </c>
      <c r="N16" s="33" t="b">
        <v>0</v>
      </c>
      <c r="O16" s="33" t="b">
        <v>0</v>
      </c>
      <c r="P16" s="33" t="b">
        <v>0</v>
      </c>
      <c r="Q16" s="33" t="b">
        <v>0</v>
      </c>
      <c r="R16" s="2"/>
      <c r="S16" s="2"/>
      <c r="T16" s="67" t="b">
        <v>0</v>
      </c>
      <c r="U16" s="33" t="b">
        <v>0</v>
      </c>
      <c r="V16" s="33" t="b">
        <v>0</v>
      </c>
      <c r="W16" s="33" t="b">
        <v>0</v>
      </c>
      <c r="X16" s="33" t="b">
        <v>0</v>
      </c>
      <c r="Y16" s="2"/>
      <c r="Z16" s="2"/>
      <c r="AA16" s="67" t="b">
        <v>0</v>
      </c>
      <c r="AB16" s="33" t="b">
        <v>0</v>
      </c>
      <c r="AC16" s="33" t="b">
        <v>0</v>
      </c>
      <c r="AD16" s="33" t="b">
        <v>0</v>
      </c>
      <c r="AE16" s="33" t="b">
        <v>0</v>
      </c>
      <c r="AF16" s="2"/>
      <c r="AG16" s="2"/>
      <c r="AH16" s="67" t="b">
        <v>0</v>
      </c>
      <c r="AI16" s="43" t="b">
        <v>0</v>
      </c>
      <c r="AJ16" s="32">
        <f t="shared" si="1"/>
        <v>19</v>
      </c>
      <c r="AK16" s="3"/>
    </row>
    <row r="17" spans="2:37" ht="18.75" customHeight="1" x14ac:dyDescent="0.25">
      <c r="B17" s="8">
        <f>ROW()-8</f>
        <v>9</v>
      </c>
      <c r="C17" s="4" t="s">
        <v>95</v>
      </c>
      <c r="D17" s="12" t="s">
        <v>47</v>
      </c>
      <c r="E17" s="35"/>
      <c r="F17" s="2"/>
      <c r="G17" s="2"/>
      <c r="H17" s="2"/>
      <c r="I17" s="33" t="b">
        <v>0</v>
      </c>
      <c r="J17" s="33" t="b">
        <v>0</v>
      </c>
      <c r="K17" s="2"/>
      <c r="L17" s="2"/>
      <c r="M17" s="67" t="b">
        <v>0</v>
      </c>
      <c r="N17" s="33" t="b">
        <v>0</v>
      </c>
      <c r="O17" s="33" t="b">
        <v>0</v>
      </c>
      <c r="P17" s="33" t="b">
        <v>0</v>
      </c>
      <c r="Q17" s="33" t="b">
        <v>0</v>
      </c>
      <c r="R17" s="2"/>
      <c r="S17" s="2"/>
      <c r="T17" s="67" t="b">
        <v>0</v>
      </c>
      <c r="U17" s="33" t="b">
        <v>0</v>
      </c>
      <c r="V17" s="33" t="b">
        <v>0</v>
      </c>
      <c r="W17" s="33" t="b">
        <v>0</v>
      </c>
      <c r="X17" s="33" t="b">
        <v>0</v>
      </c>
      <c r="Y17" s="2"/>
      <c r="Z17" s="2"/>
      <c r="AA17" s="67" t="b">
        <v>0</v>
      </c>
      <c r="AB17" s="33" t="b">
        <v>0</v>
      </c>
      <c r="AC17" s="33" t="b">
        <v>0</v>
      </c>
      <c r="AD17" s="33" t="b">
        <v>0</v>
      </c>
      <c r="AE17" s="33" t="b">
        <v>0</v>
      </c>
      <c r="AF17" s="2"/>
      <c r="AG17" s="2"/>
      <c r="AH17" s="67" t="b">
        <v>0</v>
      </c>
      <c r="AI17" s="43" t="b">
        <v>0</v>
      </c>
      <c r="AJ17" s="32">
        <f t="shared" si="1"/>
        <v>19</v>
      </c>
      <c r="AK17" s="3"/>
    </row>
    <row r="18" spans="2:37" ht="18.75" customHeight="1" x14ac:dyDescent="0.25">
      <c r="B18" s="8">
        <f t="shared" si="0"/>
        <v>10</v>
      </c>
      <c r="C18" s="4" t="s">
        <v>95</v>
      </c>
      <c r="D18" s="12" t="s">
        <v>13</v>
      </c>
      <c r="E18" s="35"/>
      <c r="F18" s="2"/>
      <c r="G18" s="2"/>
      <c r="H18" s="2"/>
      <c r="I18" s="33" t="b">
        <v>0</v>
      </c>
      <c r="J18" s="33" t="b">
        <v>0</v>
      </c>
      <c r="K18" s="2"/>
      <c r="L18" s="2"/>
      <c r="M18" s="67" t="b">
        <v>0</v>
      </c>
      <c r="N18" s="33" t="b">
        <v>0</v>
      </c>
      <c r="O18" s="33" t="b">
        <v>0</v>
      </c>
      <c r="P18" s="33" t="b">
        <v>0</v>
      </c>
      <c r="Q18" s="33" t="b">
        <v>0</v>
      </c>
      <c r="R18" s="2"/>
      <c r="S18" s="2"/>
      <c r="T18" s="67" t="b">
        <v>0</v>
      </c>
      <c r="U18" s="33" t="b">
        <v>0</v>
      </c>
      <c r="V18" s="33" t="b">
        <v>0</v>
      </c>
      <c r="W18" s="33" t="b">
        <v>0</v>
      </c>
      <c r="X18" s="33" t="b">
        <v>0</v>
      </c>
      <c r="Y18" s="2"/>
      <c r="Z18" s="2"/>
      <c r="AA18" s="67" t="b">
        <v>0</v>
      </c>
      <c r="AB18" s="33" t="b">
        <v>0</v>
      </c>
      <c r="AC18" s="33" t="b">
        <v>0</v>
      </c>
      <c r="AD18" s="33" t="b">
        <v>0</v>
      </c>
      <c r="AE18" s="33" t="b">
        <v>0</v>
      </c>
      <c r="AF18" s="2"/>
      <c r="AG18" s="2"/>
      <c r="AH18" s="67" t="b">
        <v>0</v>
      </c>
      <c r="AI18" s="43" t="b">
        <v>0</v>
      </c>
      <c r="AJ18" s="32">
        <f t="shared" si="1"/>
        <v>19</v>
      </c>
      <c r="AK18" s="3"/>
    </row>
    <row r="19" spans="2:37" ht="18.75" customHeight="1" x14ac:dyDescent="0.25">
      <c r="B19" s="8">
        <f t="shared" si="0"/>
        <v>11</v>
      </c>
      <c r="C19" s="4" t="s">
        <v>95</v>
      </c>
      <c r="D19" s="12" t="s">
        <v>14</v>
      </c>
      <c r="E19" s="35"/>
      <c r="F19" s="2"/>
      <c r="G19" s="2"/>
      <c r="H19" s="2"/>
      <c r="I19" s="33" t="b">
        <v>0</v>
      </c>
      <c r="J19" s="33" t="b">
        <v>0</v>
      </c>
      <c r="K19" s="2"/>
      <c r="L19" s="2"/>
      <c r="M19" s="67" t="b">
        <v>0</v>
      </c>
      <c r="N19" s="33" t="b">
        <v>0</v>
      </c>
      <c r="O19" s="33" t="b">
        <v>0</v>
      </c>
      <c r="P19" s="33" t="b">
        <v>0</v>
      </c>
      <c r="Q19" s="33" t="b">
        <v>0</v>
      </c>
      <c r="R19" s="2"/>
      <c r="S19" s="2"/>
      <c r="T19" s="67" t="b">
        <v>0</v>
      </c>
      <c r="U19" s="33" t="b">
        <v>0</v>
      </c>
      <c r="V19" s="33" t="b">
        <v>0</v>
      </c>
      <c r="W19" s="33" t="b">
        <v>0</v>
      </c>
      <c r="X19" s="33" t="b">
        <v>0</v>
      </c>
      <c r="Y19" s="2"/>
      <c r="Z19" s="2"/>
      <c r="AA19" s="67" t="b">
        <v>0</v>
      </c>
      <c r="AB19" s="33" t="b">
        <v>0</v>
      </c>
      <c r="AC19" s="33" t="b">
        <v>0</v>
      </c>
      <c r="AD19" s="33" t="b">
        <v>0</v>
      </c>
      <c r="AE19" s="33" t="b">
        <v>0</v>
      </c>
      <c r="AF19" s="2"/>
      <c r="AG19" s="2"/>
      <c r="AH19" s="67" t="b">
        <v>0</v>
      </c>
      <c r="AI19" s="43" t="b">
        <v>0</v>
      </c>
      <c r="AJ19" s="32">
        <f t="shared" si="1"/>
        <v>19</v>
      </c>
      <c r="AK19" s="3"/>
    </row>
    <row r="20" spans="2:37" ht="18.75" customHeight="1" x14ac:dyDescent="0.25">
      <c r="B20" s="8">
        <f t="shared" si="0"/>
        <v>12</v>
      </c>
      <c r="C20" s="4" t="s">
        <v>95</v>
      </c>
      <c r="D20" s="12" t="s">
        <v>19</v>
      </c>
      <c r="E20" s="35"/>
      <c r="F20" s="2"/>
      <c r="G20" s="2"/>
      <c r="H20" s="2"/>
      <c r="I20" s="33" t="b">
        <v>0</v>
      </c>
      <c r="J20" s="33" t="b">
        <v>0</v>
      </c>
      <c r="K20" s="2"/>
      <c r="L20" s="2"/>
      <c r="M20" s="67" t="b">
        <v>0</v>
      </c>
      <c r="N20" s="33" t="b">
        <v>0</v>
      </c>
      <c r="O20" s="33" t="b">
        <v>0</v>
      </c>
      <c r="P20" s="33" t="b">
        <v>0</v>
      </c>
      <c r="Q20" s="33" t="b">
        <v>0</v>
      </c>
      <c r="R20" s="2"/>
      <c r="S20" s="2"/>
      <c r="T20" s="67" t="b">
        <v>0</v>
      </c>
      <c r="U20" s="33" t="b">
        <v>0</v>
      </c>
      <c r="V20" s="33" t="b">
        <v>0</v>
      </c>
      <c r="W20" s="33" t="b">
        <v>0</v>
      </c>
      <c r="X20" s="33" t="b">
        <v>0</v>
      </c>
      <c r="Y20" s="2"/>
      <c r="Z20" s="2"/>
      <c r="AA20" s="67" t="b">
        <v>0</v>
      </c>
      <c r="AB20" s="33" t="b">
        <v>0</v>
      </c>
      <c r="AC20" s="33" t="b">
        <v>0</v>
      </c>
      <c r="AD20" s="33" t="b">
        <v>0</v>
      </c>
      <c r="AE20" s="33" t="b">
        <v>0</v>
      </c>
      <c r="AF20" s="2"/>
      <c r="AG20" s="2"/>
      <c r="AH20" s="67" t="b">
        <v>0</v>
      </c>
      <c r="AI20" s="43" t="b">
        <v>0</v>
      </c>
      <c r="AJ20" s="32">
        <f t="shared" si="1"/>
        <v>19</v>
      </c>
      <c r="AK20" s="3"/>
    </row>
    <row r="21" spans="2:37" ht="18.75" customHeight="1" x14ac:dyDescent="0.25">
      <c r="B21" s="8">
        <f t="shared" si="0"/>
        <v>13</v>
      </c>
      <c r="C21" s="4" t="s">
        <v>95</v>
      </c>
      <c r="D21" s="12" t="s">
        <v>21</v>
      </c>
      <c r="E21" s="35"/>
      <c r="F21" s="2"/>
      <c r="G21" s="2"/>
      <c r="H21" s="2"/>
      <c r="I21" s="33" t="b">
        <v>0</v>
      </c>
      <c r="J21" s="33" t="b">
        <v>0</v>
      </c>
      <c r="K21" s="2"/>
      <c r="L21" s="2"/>
      <c r="M21" s="67" t="b">
        <v>0</v>
      </c>
      <c r="N21" s="33" t="b">
        <v>0</v>
      </c>
      <c r="O21" s="33" t="b">
        <v>0</v>
      </c>
      <c r="P21" s="33" t="b">
        <v>0</v>
      </c>
      <c r="Q21" s="33" t="b">
        <v>0</v>
      </c>
      <c r="R21" s="2"/>
      <c r="S21" s="2"/>
      <c r="T21" s="67" t="b">
        <v>0</v>
      </c>
      <c r="U21" s="33" t="b">
        <v>0</v>
      </c>
      <c r="V21" s="33" t="b">
        <v>0</v>
      </c>
      <c r="W21" s="33" t="b">
        <v>0</v>
      </c>
      <c r="X21" s="33" t="b">
        <v>0</v>
      </c>
      <c r="Y21" s="2"/>
      <c r="Z21" s="2"/>
      <c r="AA21" s="67" t="b">
        <v>0</v>
      </c>
      <c r="AB21" s="33" t="b">
        <v>0</v>
      </c>
      <c r="AC21" s="33" t="b">
        <v>0</v>
      </c>
      <c r="AD21" s="33" t="b">
        <v>0</v>
      </c>
      <c r="AE21" s="33" t="b">
        <v>0</v>
      </c>
      <c r="AF21" s="2"/>
      <c r="AG21" s="2"/>
      <c r="AH21" s="67" t="b">
        <v>0</v>
      </c>
      <c r="AI21" s="43" t="b">
        <v>0</v>
      </c>
      <c r="AJ21" s="32">
        <f t="shared" si="1"/>
        <v>19</v>
      </c>
      <c r="AK21" s="3"/>
    </row>
    <row r="22" spans="2:37" ht="18.75" customHeight="1" x14ac:dyDescent="0.25">
      <c r="B22" s="8">
        <f t="shared" si="0"/>
        <v>14</v>
      </c>
      <c r="C22" s="4" t="s">
        <v>95</v>
      </c>
      <c r="D22" s="12" t="s">
        <v>67</v>
      </c>
      <c r="E22" s="35"/>
      <c r="F22" s="2"/>
      <c r="G22" s="2"/>
      <c r="H22" s="2"/>
      <c r="I22" s="33" t="b">
        <v>0</v>
      </c>
      <c r="J22" s="33" t="b">
        <v>0</v>
      </c>
      <c r="K22" s="2"/>
      <c r="L22" s="2"/>
      <c r="M22" s="67" t="b">
        <v>0</v>
      </c>
      <c r="N22" s="33" t="b">
        <v>0</v>
      </c>
      <c r="O22" s="33" t="b">
        <v>0</v>
      </c>
      <c r="P22" s="33" t="b">
        <v>0</v>
      </c>
      <c r="Q22" s="33" t="b">
        <v>0</v>
      </c>
      <c r="R22" s="2"/>
      <c r="S22" s="2"/>
      <c r="T22" s="67" t="b">
        <v>0</v>
      </c>
      <c r="U22" s="33" t="b">
        <v>0</v>
      </c>
      <c r="V22" s="33" t="b">
        <v>0</v>
      </c>
      <c r="W22" s="33" t="b">
        <v>0</v>
      </c>
      <c r="X22" s="33" t="b">
        <v>0</v>
      </c>
      <c r="Y22" s="2"/>
      <c r="Z22" s="2"/>
      <c r="AA22" s="67" t="b">
        <v>0</v>
      </c>
      <c r="AB22" s="33" t="b">
        <v>0</v>
      </c>
      <c r="AC22" s="33" t="b">
        <v>0</v>
      </c>
      <c r="AD22" s="33" t="b">
        <v>0</v>
      </c>
      <c r="AE22" s="33" t="b">
        <v>0</v>
      </c>
      <c r="AF22" s="2"/>
      <c r="AG22" s="2"/>
      <c r="AH22" s="67" t="b">
        <v>0</v>
      </c>
      <c r="AI22" s="43" t="b">
        <v>0</v>
      </c>
      <c r="AJ22" s="32">
        <f t="shared" si="1"/>
        <v>19</v>
      </c>
      <c r="AK22" s="3"/>
    </row>
    <row r="23" spans="2:37" ht="18.75" customHeight="1" x14ac:dyDescent="0.25">
      <c r="B23" s="8">
        <f t="shared" si="0"/>
        <v>15</v>
      </c>
      <c r="C23" s="4" t="s">
        <v>95</v>
      </c>
      <c r="D23" s="22" t="s">
        <v>18</v>
      </c>
      <c r="E23" s="36"/>
      <c r="F23" s="2"/>
      <c r="G23" s="2"/>
      <c r="H23" s="2"/>
      <c r="I23" s="33" t="b">
        <v>0</v>
      </c>
      <c r="J23" s="33" t="b">
        <v>0</v>
      </c>
      <c r="K23" s="2"/>
      <c r="L23" s="2"/>
      <c r="M23" s="67" t="b">
        <v>0</v>
      </c>
      <c r="N23" s="33" t="b">
        <v>0</v>
      </c>
      <c r="O23" s="33" t="b">
        <v>0</v>
      </c>
      <c r="P23" s="33" t="b">
        <v>0</v>
      </c>
      <c r="Q23" s="33" t="b">
        <v>0</v>
      </c>
      <c r="R23" s="2"/>
      <c r="S23" s="2"/>
      <c r="T23" s="67" t="b">
        <v>0</v>
      </c>
      <c r="U23" s="33" t="b">
        <v>0</v>
      </c>
      <c r="V23" s="33" t="b">
        <v>0</v>
      </c>
      <c r="W23" s="33" t="b">
        <v>0</v>
      </c>
      <c r="X23" s="33" t="b">
        <v>0</v>
      </c>
      <c r="Y23" s="2"/>
      <c r="Z23" s="2"/>
      <c r="AA23" s="67" t="b">
        <v>0</v>
      </c>
      <c r="AB23" s="33" t="b">
        <v>0</v>
      </c>
      <c r="AC23" s="33" t="b">
        <v>0</v>
      </c>
      <c r="AD23" s="33" t="b">
        <v>0</v>
      </c>
      <c r="AE23" s="33" t="b">
        <v>0</v>
      </c>
      <c r="AF23" s="2"/>
      <c r="AG23" s="2"/>
      <c r="AH23" s="67" t="b">
        <v>0</v>
      </c>
      <c r="AI23" s="63" t="b">
        <v>0</v>
      </c>
      <c r="AJ23" s="32">
        <f t="shared" si="1"/>
        <v>19</v>
      </c>
      <c r="AK23" s="3"/>
    </row>
    <row r="24" spans="2:37" ht="18.75" customHeight="1" x14ac:dyDescent="0.25">
      <c r="B24" s="8">
        <f t="shared" si="0"/>
        <v>16</v>
      </c>
      <c r="C24" s="2" t="s">
        <v>96</v>
      </c>
      <c r="D24" s="12" t="s">
        <v>15</v>
      </c>
      <c r="E24" s="44"/>
      <c r="F24" s="50"/>
      <c r="G24" s="51"/>
      <c r="H24" s="51"/>
      <c r="I24" s="52" t="b">
        <v>0</v>
      </c>
      <c r="J24" s="53"/>
      <c r="K24" s="53"/>
      <c r="L24" s="51"/>
      <c r="M24" s="68" t="b">
        <v>0</v>
      </c>
      <c r="N24" s="53"/>
      <c r="O24" s="53"/>
      <c r="P24" s="53"/>
      <c r="Q24" s="53"/>
      <c r="R24" s="53"/>
      <c r="S24" s="53"/>
      <c r="T24" s="68" t="b">
        <v>0</v>
      </c>
      <c r="U24" s="53"/>
      <c r="V24" s="53"/>
      <c r="W24" s="53"/>
      <c r="X24" s="53"/>
      <c r="Y24" s="53"/>
      <c r="Z24" s="53"/>
      <c r="AA24" s="68" t="b">
        <v>0</v>
      </c>
      <c r="AB24" s="53"/>
      <c r="AC24" s="53"/>
      <c r="AD24" s="53"/>
      <c r="AE24" s="54"/>
      <c r="AF24" s="53"/>
      <c r="AG24" s="53"/>
      <c r="AH24" s="68" t="b">
        <v>0</v>
      </c>
      <c r="AI24" s="55"/>
      <c r="AJ24" s="32">
        <f t="shared" si="1"/>
        <v>5</v>
      </c>
      <c r="AK24" s="3"/>
    </row>
    <row r="25" spans="2:37" ht="18.75" customHeight="1" x14ac:dyDescent="0.25">
      <c r="B25" s="8">
        <f t="shared" si="0"/>
        <v>17</v>
      </c>
      <c r="C25" s="2" t="s">
        <v>96</v>
      </c>
      <c r="D25" s="12" t="s">
        <v>7</v>
      </c>
      <c r="E25" s="44"/>
      <c r="F25" s="56"/>
      <c r="G25" s="48"/>
      <c r="H25" s="48"/>
      <c r="I25" s="33" t="b">
        <v>0</v>
      </c>
      <c r="J25" s="2"/>
      <c r="K25" s="2"/>
      <c r="L25" s="48"/>
      <c r="M25" s="67" t="b">
        <v>0</v>
      </c>
      <c r="N25" s="2"/>
      <c r="O25" s="2"/>
      <c r="P25" s="2"/>
      <c r="Q25" s="2"/>
      <c r="R25" s="2"/>
      <c r="S25" s="2"/>
      <c r="T25" s="67" t="b">
        <v>0</v>
      </c>
      <c r="U25" s="2"/>
      <c r="V25" s="2"/>
      <c r="W25" s="2"/>
      <c r="X25" s="2"/>
      <c r="Y25" s="2"/>
      <c r="Z25" s="2"/>
      <c r="AA25" s="67" t="b">
        <v>0</v>
      </c>
      <c r="AB25" s="2"/>
      <c r="AC25" s="2"/>
      <c r="AD25" s="2"/>
      <c r="AF25" s="2"/>
      <c r="AG25" s="2"/>
      <c r="AH25" s="67" t="b">
        <v>0</v>
      </c>
      <c r="AI25" s="13"/>
      <c r="AJ25" s="32">
        <f t="shared" si="1"/>
        <v>5</v>
      </c>
      <c r="AK25" s="3"/>
    </row>
    <row r="26" spans="2:37" ht="18.75" customHeight="1" x14ac:dyDescent="0.25">
      <c r="B26" s="8">
        <f t="shared" si="0"/>
        <v>18</v>
      </c>
      <c r="C26" s="2" t="s">
        <v>96</v>
      </c>
      <c r="D26" s="12" t="s">
        <v>92</v>
      </c>
      <c r="E26" s="44"/>
      <c r="F26" s="56"/>
      <c r="G26" s="48"/>
      <c r="H26" s="48"/>
      <c r="I26" s="33" t="b">
        <v>0</v>
      </c>
      <c r="J26" s="2"/>
      <c r="K26" s="2"/>
      <c r="L26" s="48"/>
      <c r="M26" s="67" t="b">
        <v>0</v>
      </c>
      <c r="N26" s="2"/>
      <c r="O26" s="2"/>
      <c r="P26" s="2"/>
      <c r="Q26" s="2"/>
      <c r="R26" s="2"/>
      <c r="S26" s="2"/>
      <c r="T26" s="67" t="b">
        <v>0</v>
      </c>
      <c r="U26" s="2"/>
      <c r="V26" s="2"/>
      <c r="W26" s="2"/>
      <c r="X26" s="2"/>
      <c r="Y26" s="2"/>
      <c r="Z26" s="2"/>
      <c r="AA26" s="67" t="b">
        <v>0</v>
      </c>
      <c r="AB26" s="2"/>
      <c r="AC26" s="2"/>
      <c r="AD26" s="2"/>
      <c r="AF26" s="2"/>
      <c r="AG26" s="2"/>
      <c r="AH26" s="67" t="b">
        <v>0</v>
      </c>
      <c r="AI26" s="13"/>
      <c r="AJ26" s="32">
        <f t="shared" si="1"/>
        <v>5</v>
      </c>
      <c r="AK26" s="3"/>
    </row>
    <row r="27" spans="2:37" ht="18.75" customHeight="1" x14ac:dyDescent="0.25">
      <c r="B27" s="8">
        <f>ROW()-8</f>
        <v>19</v>
      </c>
      <c r="C27" s="2" t="s">
        <v>96</v>
      </c>
      <c r="D27" s="12" t="s">
        <v>49</v>
      </c>
      <c r="E27" s="44"/>
      <c r="F27" s="56"/>
      <c r="G27" s="48"/>
      <c r="H27" s="48"/>
      <c r="I27" s="33" t="b">
        <v>0</v>
      </c>
      <c r="J27" s="2"/>
      <c r="K27" s="2"/>
      <c r="L27" s="48"/>
      <c r="M27" s="67" t="b">
        <v>0</v>
      </c>
      <c r="N27" s="2"/>
      <c r="O27" s="2"/>
      <c r="P27" s="2"/>
      <c r="Q27" s="2"/>
      <c r="R27" s="2"/>
      <c r="S27" s="2"/>
      <c r="T27" s="67" t="b">
        <v>0</v>
      </c>
      <c r="U27" s="2"/>
      <c r="V27" s="2"/>
      <c r="W27" s="2"/>
      <c r="X27" s="2"/>
      <c r="Y27" s="2"/>
      <c r="Z27" s="2"/>
      <c r="AA27" s="67" t="b">
        <v>0</v>
      </c>
      <c r="AB27" s="2"/>
      <c r="AC27" s="2"/>
      <c r="AD27" s="2"/>
      <c r="AF27" s="2"/>
      <c r="AG27" s="2"/>
      <c r="AH27" s="67" t="b">
        <v>0</v>
      </c>
      <c r="AI27" s="13"/>
      <c r="AJ27" s="32">
        <f t="shared" si="1"/>
        <v>5</v>
      </c>
      <c r="AK27" s="3"/>
    </row>
    <row r="28" spans="2:37" ht="18.75" customHeight="1" x14ac:dyDescent="0.25">
      <c r="B28" s="8">
        <f t="shared" si="0"/>
        <v>20</v>
      </c>
      <c r="C28" s="2" t="s">
        <v>96</v>
      </c>
      <c r="D28" s="12" t="s">
        <v>68</v>
      </c>
      <c r="E28" s="44"/>
      <c r="F28" s="56"/>
      <c r="G28" s="48"/>
      <c r="H28" s="48"/>
      <c r="I28" s="33" t="b">
        <v>0</v>
      </c>
      <c r="J28" s="2"/>
      <c r="K28" s="2"/>
      <c r="L28" s="48"/>
      <c r="M28" s="67" t="b">
        <v>0</v>
      </c>
      <c r="N28" s="2"/>
      <c r="O28" s="2"/>
      <c r="P28" s="2"/>
      <c r="Q28" s="2"/>
      <c r="R28" s="2"/>
      <c r="S28" s="2"/>
      <c r="T28" s="67" t="b">
        <v>0</v>
      </c>
      <c r="U28" s="2"/>
      <c r="V28" s="2"/>
      <c r="W28" s="2"/>
      <c r="X28" s="2"/>
      <c r="Y28" s="2"/>
      <c r="Z28" s="2"/>
      <c r="AA28" s="67" t="b">
        <v>0</v>
      </c>
      <c r="AB28" s="2"/>
      <c r="AC28" s="2"/>
      <c r="AD28" s="2"/>
      <c r="AF28" s="2"/>
      <c r="AG28" s="2"/>
      <c r="AH28" s="67" t="b">
        <v>0</v>
      </c>
      <c r="AI28" s="13"/>
      <c r="AJ28" s="32">
        <f t="shared" si="1"/>
        <v>5</v>
      </c>
      <c r="AK28" s="3"/>
    </row>
    <row r="29" spans="2:37" ht="18.75" customHeight="1" x14ac:dyDescent="0.25">
      <c r="B29" s="8">
        <f t="shared" si="0"/>
        <v>21</v>
      </c>
      <c r="C29" s="2" t="s">
        <v>96</v>
      </c>
      <c r="D29" s="12" t="s">
        <v>40</v>
      </c>
      <c r="E29" s="45"/>
      <c r="F29" s="56"/>
      <c r="G29" s="48"/>
      <c r="H29" s="48"/>
      <c r="I29" s="33" t="b">
        <v>0</v>
      </c>
      <c r="J29" s="48"/>
      <c r="L29" s="48"/>
      <c r="M29" s="57"/>
      <c r="N29" s="33" t="b">
        <v>0</v>
      </c>
      <c r="O29" s="2"/>
      <c r="P29" s="2"/>
      <c r="Q29" s="2"/>
      <c r="R29" s="2"/>
      <c r="S29" s="2"/>
      <c r="T29" s="57"/>
      <c r="U29" s="33" t="b">
        <v>0</v>
      </c>
      <c r="V29" s="2"/>
      <c r="W29" s="2"/>
      <c r="X29" s="2"/>
      <c r="Y29" s="2"/>
      <c r="Z29" s="2"/>
      <c r="AA29" s="57"/>
      <c r="AB29" s="33" t="b">
        <v>0</v>
      </c>
      <c r="AC29" s="2"/>
      <c r="AD29" s="2"/>
      <c r="AF29" s="2"/>
      <c r="AG29" s="2"/>
      <c r="AH29" s="57"/>
      <c r="AI29" s="43" t="b">
        <v>0</v>
      </c>
      <c r="AJ29" s="32">
        <f t="shared" si="1"/>
        <v>5</v>
      </c>
      <c r="AK29" s="3"/>
    </row>
    <row r="30" spans="2:37" ht="18.75" customHeight="1" x14ac:dyDescent="0.25">
      <c r="B30" s="8">
        <f t="shared" si="0"/>
        <v>22</v>
      </c>
      <c r="C30" s="2" t="s">
        <v>96</v>
      </c>
      <c r="D30" s="17" t="s">
        <v>16</v>
      </c>
      <c r="E30" s="46" t="s">
        <v>48</v>
      </c>
      <c r="F30" s="56"/>
      <c r="G30" s="48"/>
      <c r="H30" s="48"/>
      <c r="I30" s="33" t="b">
        <v>0</v>
      </c>
      <c r="J30" s="48"/>
      <c r="L30" s="48"/>
      <c r="M30" s="57"/>
      <c r="N30" s="33" t="b">
        <v>0</v>
      </c>
      <c r="O30" s="2"/>
      <c r="P30" s="2"/>
      <c r="Q30" s="2"/>
      <c r="R30" s="2"/>
      <c r="S30" s="2"/>
      <c r="T30" s="57"/>
      <c r="U30" s="33" t="b">
        <v>0</v>
      </c>
      <c r="V30" s="2"/>
      <c r="W30" s="2"/>
      <c r="X30" s="2"/>
      <c r="Y30" s="2"/>
      <c r="Z30" s="2"/>
      <c r="AA30" s="57"/>
      <c r="AB30" s="33" t="b">
        <v>0</v>
      </c>
      <c r="AC30" s="2"/>
      <c r="AD30" s="2"/>
      <c r="AF30" s="2"/>
      <c r="AG30" s="2"/>
      <c r="AH30" s="57"/>
      <c r="AI30" s="43" t="b">
        <v>0</v>
      </c>
      <c r="AJ30" s="32">
        <f t="shared" si="1"/>
        <v>5</v>
      </c>
      <c r="AK30" s="3"/>
    </row>
    <row r="31" spans="2:37" ht="18.75" customHeight="1" x14ac:dyDescent="0.25">
      <c r="B31" s="8">
        <f t="shared" si="0"/>
        <v>23</v>
      </c>
      <c r="C31" s="2" t="s">
        <v>96</v>
      </c>
      <c r="D31" s="12" t="s">
        <v>11</v>
      </c>
      <c r="E31" s="44"/>
      <c r="F31" s="56"/>
      <c r="G31" s="48"/>
      <c r="H31" s="48"/>
      <c r="I31" s="33" t="b">
        <v>0</v>
      </c>
      <c r="J31" s="2"/>
      <c r="K31" s="48"/>
      <c r="L31" s="48"/>
      <c r="M31" s="57"/>
      <c r="N31" s="2"/>
      <c r="O31" s="33" t="b">
        <v>0</v>
      </c>
      <c r="P31" s="2"/>
      <c r="Q31" s="2"/>
      <c r="R31" s="2"/>
      <c r="S31" s="2"/>
      <c r="T31" s="57"/>
      <c r="U31" s="2"/>
      <c r="V31" s="33" t="b">
        <v>0</v>
      </c>
      <c r="W31" s="2"/>
      <c r="X31" s="2"/>
      <c r="Y31" s="2"/>
      <c r="Z31" s="2"/>
      <c r="AA31" s="57"/>
      <c r="AB31" s="2"/>
      <c r="AC31" s="33" t="b">
        <v>0</v>
      </c>
      <c r="AD31" s="2"/>
      <c r="AF31" s="2"/>
      <c r="AG31" s="2"/>
      <c r="AH31" s="57"/>
      <c r="AI31" s="13"/>
      <c r="AJ31" s="32">
        <f t="shared" si="1"/>
        <v>4</v>
      </c>
      <c r="AK31" s="3"/>
    </row>
    <row r="32" spans="2:37" ht="18.75" customHeight="1" x14ac:dyDescent="0.25">
      <c r="B32" s="8">
        <f>ROW()-8</f>
        <v>24</v>
      </c>
      <c r="C32" s="2" t="s">
        <v>96</v>
      </c>
      <c r="D32" s="12" t="s">
        <v>98</v>
      </c>
      <c r="E32" s="44"/>
      <c r="F32" s="56"/>
      <c r="G32" s="48"/>
      <c r="H32" s="48"/>
      <c r="I32" s="33" t="b">
        <v>0</v>
      </c>
      <c r="J32" s="2"/>
      <c r="K32" s="48"/>
      <c r="L32" s="48"/>
      <c r="M32" s="57"/>
      <c r="N32" s="2"/>
      <c r="O32" s="33" t="b">
        <v>0</v>
      </c>
      <c r="P32" s="2"/>
      <c r="Q32" s="2"/>
      <c r="R32" s="2"/>
      <c r="S32" s="2"/>
      <c r="T32" s="57"/>
      <c r="U32" s="2"/>
      <c r="V32" s="33" t="b">
        <v>0</v>
      </c>
      <c r="W32" s="2"/>
      <c r="X32" s="2"/>
      <c r="Y32" s="2"/>
      <c r="Z32" s="2"/>
      <c r="AA32" s="57"/>
      <c r="AB32" s="2"/>
      <c r="AC32" s="33" t="b">
        <v>0</v>
      </c>
      <c r="AD32" s="2"/>
      <c r="AF32" s="2"/>
      <c r="AG32" s="2"/>
      <c r="AH32" s="57"/>
      <c r="AI32" s="13"/>
      <c r="AJ32" s="32">
        <f t="shared" si="1"/>
        <v>4</v>
      </c>
      <c r="AK32" s="3"/>
    </row>
    <row r="33" spans="2:37" ht="18.75" customHeight="1" x14ac:dyDescent="0.25">
      <c r="B33" s="8">
        <f t="shared" si="0"/>
        <v>25</v>
      </c>
      <c r="C33" s="2" t="s">
        <v>96</v>
      </c>
      <c r="D33" s="12" t="s">
        <v>39</v>
      </c>
      <c r="E33" s="44"/>
      <c r="F33" s="56"/>
      <c r="G33" s="48"/>
      <c r="H33" s="48"/>
      <c r="I33" s="33" t="b">
        <v>0</v>
      </c>
      <c r="J33" s="2"/>
      <c r="K33" s="2"/>
      <c r="L33" s="48"/>
      <c r="M33" s="57"/>
      <c r="N33" s="2"/>
      <c r="O33" s="33" t="b">
        <v>0</v>
      </c>
      <c r="P33" s="2"/>
      <c r="Q33" s="2"/>
      <c r="R33" s="2"/>
      <c r="S33" s="2"/>
      <c r="T33" s="57"/>
      <c r="U33" s="2"/>
      <c r="V33" s="33" t="b">
        <v>0</v>
      </c>
      <c r="W33" s="2"/>
      <c r="X33" s="2"/>
      <c r="Y33" s="2"/>
      <c r="Z33" s="2"/>
      <c r="AA33" s="57"/>
      <c r="AB33" s="2"/>
      <c r="AC33" s="33" t="b">
        <v>0</v>
      </c>
      <c r="AD33" s="2"/>
      <c r="AF33" s="2"/>
      <c r="AG33" s="2"/>
      <c r="AH33" s="57"/>
      <c r="AI33" s="13"/>
      <c r="AJ33" s="32">
        <f t="shared" si="1"/>
        <v>4</v>
      </c>
      <c r="AK33" s="3"/>
    </row>
    <row r="34" spans="2:37" ht="18" customHeight="1" x14ac:dyDescent="0.25">
      <c r="B34" s="8">
        <f t="shared" si="0"/>
        <v>26</v>
      </c>
      <c r="C34" s="2" t="s">
        <v>96</v>
      </c>
      <c r="D34" s="12" t="s">
        <v>69</v>
      </c>
      <c r="E34" s="44"/>
      <c r="F34" s="57"/>
      <c r="G34" s="2"/>
      <c r="H34" s="2"/>
      <c r="I34" s="33" t="b">
        <v>0</v>
      </c>
      <c r="J34" s="2"/>
      <c r="K34" s="2"/>
      <c r="L34" s="48"/>
      <c r="M34" s="57"/>
      <c r="N34" s="2"/>
      <c r="O34" s="2"/>
      <c r="P34" s="33" t="b">
        <v>0</v>
      </c>
      <c r="Q34" s="2"/>
      <c r="R34" s="2"/>
      <c r="S34" s="2"/>
      <c r="T34" s="57"/>
      <c r="U34" s="2"/>
      <c r="V34" s="2"/>
      <c r="W34" s="33" t="b">
        <v>0</v>
      </c>
      <c r="X34" s="2"/>
      <c r="Y34" s="2"/>
      <c r="Z34" s="2"/>
      <c r="AA34" s="57"/>
      <c r="AB34" s="2"/>
      <c r="AC34" s="2"/>
      <c r="AD34" s="33" t="b">
        <v>0</v>
      </c>
      <c r="AF34" s="2"/>
      <c r="AG34" s="2"/>
      <c r="AH34" s="57"/>
      <c r="AI34" s="13"/>
      <c r="AJ34" s="32">
        <f t="shared" si="1"/>
        <v>4</v>
      </c>
      <c r="AK34" s="3"/>
    </row>
    <row r="35" spans="2:37" ht="18" customHeight="1" x14ac:dyDescent="0.25">
      <c r="B35" s="8">
        <f>ROW()-8</f>
        <v>27</v>
      </c>
      <c r="C35" s="2" t="s">
        <v>96</v>
      </c>
      <c r="D35" s="12" t="s">
        <v>93</v>
      </c>
      <c r="E35" s="44"/>
      <c r="F35" s="57"/>
      <c r="G35" s="2"/>
      <c r="H35" s="2"/>
      <c r="I35" s="33" t="b">
        <v>0</v>
      </c>
      <c r="J35" s="2"/>
      <c r="K35" s="2"/>
      <c r="L35" s="48"/>
      <c r="M35" s="57"/>
      <c r="N35" s="2"/>
      <c r="O35" s="2"/>
      <c r="P35" s="33" t="b">
        <v>0</v>
      </c>
      <c r="Q35" s="2"/>
      <c r="R35" s="2"/>
      <c r="S35" s="2"/>
      <c r="T35" s="57"/>
      <c r="U35" s="2"/>
      <c r="V35" s="2"/>
      <c r="W35" s="33" t="b">
        <v>0</v>
      </c>
      <c r="X35" s="2"/>
      <c r="Y35" s="2"/>
      <c r="Z35" s="2"/>
      <c r="AA35" s="57"/>
      <c r="AB35" s="2"/>
      <c r="AC35" s="2"/>
      <c r="AD35" s="33" t="b">
        <v>0</v>
      </c>
      <c r="AF35" s="2"/>
      <c r="AG35" s="2"/>
      <c r="AH35" s="57"/>
      <c r="AI35" s="13"/>
      <c r="AJ35" s="32">
        <f t="shared" si="1"/>
        <v>4</v>
      </c>
      <c r="AK35" s="3"/>
    </row>
    <row r="36" spans="2:37" ht="18.75" customHeight="1" x14ac:dyDescent="0.25">
      <c r="B36" s="8">
        <f t="shared" si="0"/>
        <v>28</v>
      </c>
      <c r="C36" s="2" t="s">
        <v>96</v>
      </c>
      <c r="D36" s="12" t="s">
        <v>38</v>
      </c>
      <c r="E36" s="44"/>
      <c r="F36" s="58"/>
      <c r="G36" s="48"/>
      <c r="H36" s="2"/>
      <c r="I36" s="2"/>
      <c r="J36" s="33" t="b">
        <v>0</v>
      </c>
      <c r="K36" s="2"/>
      <c r="L36" s="48"/>
      <c r="M36" s="57"/>
      <c r="N36" s="2"/>
      <c r="O36" s="2"/>
      <c r="P36" s="2"/>
      <c r="Q36" s="33" t="b">
        <v>0</v>
      </c>
      <c r="R36" s="2"/>
      <c r="S36" s="2"/>
      <c r="T36" s="57"/>
      <c r="U36" s="2"/>
      <c r="V36" s="2"/>
      <c r="W36" s="2"/>
      <c r="X36" s="33" t="b">
        <v>0</v>
      </c>
      <c r="Y36" s="2"/>
      <c r="Z36" s="2"/>
      <c r="AA36" s="57"/>
      <c r="AB36" s="2"/>
      <c r="AC36" s="2"/>
      <c r="AD36" s="2"/>
      <c r="AE36" s="49" t="b">
        <v>0</v>
      </c>
      <c r="AF36" s="2"/>
      <c r="AG36" s="2"/>
      <c r="AH36" s="57"/>
      <c r="AI36" s="13"/>
      <c r="AJ36" s="32">
        <f t="shared" si="1"/>
        <v>4</v>
      </c>
      <c r="AK36" s="3"/>
    </row>
    <row r="37" spans="2:37" ht="18.75" customHeight="1" x14ac:dyDescent="0.25">
      <c r="B37" s="8">
        <f t="shared" si="0"/>
        <v>29</v>
      </c>
      <c r="C37" s="2" t="s">
        <v>96</v>
      </c>
      <c r="D37" s="22" t="s">
        <v>44</v>
      </c>
      <c r="E37" s="47"/>
      <c r="F37" s="59"/>
      <c r="G37" s="11"/>
      <c r="H37" s="11"/>
      <c r="I37" s="10"/>
      <c r="J37" s="71" t="b">
        <v>0</v>
      </c>
      <c r="K37" s="10"/>
      <c r="L37" s="11"/>
      <c r="M37" s="34"/>
      <c r="N37" s="10"/>
      <c r="O37" s="10"/>
      <c r="P37" s="10"/>
      <c r="Q37" s="71" t="b">
        <v>0</v>
      </c>
      <c r="R37" s="10"/>
      <c r="S37" s="10"/>
      <c r="T37" s="34"/>
      <c r="U37" s="10"/>
      <c r="V37" s="10"/>
      <c r="W37" s="10"/>
      <c r="X37" s="71" t="b">
        <v>0</v>
      </c>
      <c r="Y37" s="10"/>
      <c r="Z37" s="10"/>
      <c r="AA37" s="34"/>
      <c r="AB37" s="10"/>
      <c r="AC37" s="10"/>
      <c r="AD37" s="10"/>
      <c r="AE37" s="72" t="b">
        <v>0</v>
      </c>
      <c r="AF37" s="10"/>
      <c r="AG37" s="10"/>
      <c r="AH37" s="34"/>
      <c r="AI37" s="14"/>
      <c r="AJ37" s="32">
        <f t="shared" si="1"/>
        <v>4</v>
      </c>
      <c r="AK37" s="3"/>
    </row>
    <row r="38" spans="2:37" ht="18.75" customHeight="1" x14ac:dyDescent="0.25">
      <c r="B38" s="8">
        <f t="shared" si="0"/>
        <v>30</v>
      </c>
      <c r="C38" s="4" t="s">
        <v>97</v>
      </c>
      <c r="D38" s="13" t="s">
        <v>70</v>
      </c>
      <c r="E38" s="57"/>
      <c r="F38" s="57"/>
      <c r="G38" s="48"/>
      <c r="I38" s="33" t="b">
        <v>0</v>
      </c>
      <c r="J38" s="61"/>
      <c r="K38" s="48"/>
      <c r="L38" s="48"/>
      <c r="M38" s="57"/>
      <c r="N38" s="2"/>
      <c r="O38" s="2"/>
      <c r="P38" s="2"/>
      <c r="Q38" s="2"/>
      <c r="R38" s="2"/>
      <c r="S38" s="2"/>
      <c r="T38" s="57"/>
      <c r="U38" s="2"/>
      <c r="V38" s="2"/>
      <c r="W38" s="2"/>
      <c r="X38" s="2"/>
      <c r="Y38" s="2"/>
      <c r="Z38" s="2"/>
      <c r="AA38" s="57"/>
      <c r="AB38" s="2"/>
      <c r="AC38" s="2"/>
      <c r="AD38" s="2"/>
      <c r="AE38" s="2"/>
      <c r="AF38" s="2"/>
      <c r="AG38" s="2"/>
      <c r="AH38" s="57"/>
      <c r="AI38" s="13"/>
      <c r="AJ38" s="32">
        <f>COUNTA($F$8:$AI$8)-COUNTBLANK(F47:AI47)</f>
        <v>1</v>
      </c>
      <c r="AK38" s="3"/>
    </row>
    <row r="39" spans="2:37" ht="18.75" customHeight="1" x14ac:dyDescent="0.25">
      <c r="B39" s="8">
        <f t="shared" si="0"/>
        <v>31</v>
      </c>
      <c r="C39" s="4" t="s">
        <v>97</v>
      </c>
      <c r="D39" s="13" t="s">
        <v>71</v>
      </c>
      <c r="E39" s="57"/>
      <c r="F39" s="57"/>
      <c r="G39" s="48"/>
      <c r="I39" s="33" t="b">
        <v>0</v>
      </c>
      <c r="J39" s="61"/>
      <c r="K39" s="48"/>
      <c r="L39" s="48"/>
      <c r="M39" s="57"/>
      <c r="N39" s="2"/>
      <c r="O39" s="2"/>
      <c r="P39" s="2"/>
      <c r="Q39" s="2"/>
      <c r="R39" s="2"/>
      <c r="S39" s="2"/>
      <c r="T39" s="57"/>
      <c r="U39" s="2"/>
      <c r="V39" s="2"/>
      <c r="W39" s="2"/>
      <c r="X39" s="2"/>
      <c r="Y39" s="2"/>
      <c r="Z39" s="2"/>
      <c r="AA39" s="57"/>
      <c r="AB39" s="2"/>
      <c r="AC39" s="2"/>
      <c r="AD39" s="2"/>
      <c r="AE39" s="2"/>
      <c r="AF39" s="2"/>
      <c r="AG39" s="2"/>
      <c r="AH39" s="57"/>
      <c r="AI39" s="13"/>
      <c r="AJ39" s="32">
        <f>COUNTA($F$8:$AI$8)-COUNTBLANK(F38:AI38)</f>
        <v>1</v>
      </c>
      <c r="AK39" s="3"/>
    </row>
    <row r="40" spans="2:37" ht="18.75" customHeight="1" x14ac:dyDescent="0.25">
      <c r="B40" s="8">
        <f t="shared" si="0"/>
        <v>32</v>
      </c>
      <c r="C40" s="4" t="s">
        <v>97</v>
      </c>
      <c r="D40" s="13" t="s">
        <v>72</v>
      </c>
      <c r="E40" s="57"/>
      <c r="F40" s="57"/>
      <c r="G40" s="48"/>
      <c r="I40" s="33" t="b">
        <v>0</v>
      </c>
      <c r="J40" s="48"/>
      <c r="K40" s="48"/>
      <c r="L40" s="48"/>
      <c r="M40" s="57"/>
      <c r="N40" s="2"/>
      <c r="O40" s="2"/>
      <c r="P40" s="2"/>
      <c r="Q40" s="2"/>
      <c r="R40" s="2"/>
      <c r="S40" s="2"/>
      <c r="T40" s="57"/>
      <c r="U40" s="2"/>
      <c r="V40" s="2"/>
      <c r="W40" s="2"/>
      <c r="X40" s="2"/>
      <c r="Y40" s="2"/>
      <c r="Z40" s="2"/>
      <c r="AA40" s="57"/>
      <c r="AB40" s="2"/>
      <c r="AC40" s="2"/>
      <c r="AD40" s="2"/>
      <c r="AE40" s="2"/>
      <c r="AF40" s="2"/>
      <c r="AG40" s="2"/>
      <c r="AH40" s="57"/>
      <c r="AI40" s="13"/>
      <c r="AJ40" s="32">
        <f>COUNTA($F$8:$AI$8)-COUNTBLANK(F39:AI39)</f>
        <v>1</v>
      </c>
      <c r="AK40" s="3"/>
    </row>
    <row r="41" spans="2:37" ht="18.75" customHeight="1" x14ac:dyDescent="0.25">
      <c r="B41" s="8">
        <f t="shared" si="0"/>
        <v>33</v>
      </c>
      <c r="C41" s="4" t="s">
        <v>97</v>
      </c>
      <c r="D41" s="13" t="s">
        <v>73</v>
      </c>
      <c r="E41" s="57"/>
      <c r="F41" s="57"/>
      <c r="G41" s="48"/>
      <c r="I41" s="33" t="b">
        <v>0</v>
      </c>
      <c r="K41" s="48"/>
      <c r="L41" s="48"/>
      <c r="M41" s="57"/>
      <c r="N41" s="2"/>
      <c r="O41" s="2"/>
      <c r="P41" s="2"/>
      <c r="Q41" s="2"/>
      <c r="R41" s="2"/>
      <c r="S41" s="2"/>
      <c r="T41" s="57"/>
      <c r="U41" s="2"/>
      <c r="V41" s="2"/>
      <c r="W41" s="2"/>
      <c r="X41" s="2"/>
      <c r="Y41" s="2"/>
      <c r="Z41" s="2"/>
      <c r="AA41" s="57"/>
      <c r="AB41" s="2"/>
      <c r="AC41" s="2"/>
      <c r="AD41" s="2"/>
      <c r="AE41" s="2"/>
      <c r="AF41" s="2"/>
      <c r="AG41" s="2"/>
      <c r="AH41" s="57"/>
      <c r="AI41" s="13"/>
      <c r="AJ41" s="32">
        <f>COUNTA($F$8:$AI$8)-COUNTBLANK(F40:AI40)</f>
        <v>1</v>
      </c>
      <c r="AK41" s="3"/>
    </row>
    <row r="42" spans="2:37" ht="18.75" customHeight="1" x14ac:dyDescent="0.25">
      <c r="B42" s="8">
        <f>ROW()-8</f>
        <v>34</v>
      </c>
      <c r="C42" s="4" t="s">
        <v>97</v>
      </c>
      <c r="D42" s="13" t="s">
        <v>74</v>
      </c>
      <c r="E42" s="57"/>
      <c r="F42" s="57"/>
      <c r="G42" s="48"/>
      <c r="I42" s="48"/>
      <c r="K42" s="48"/>
      <c r="L42" s="48"/>
      <c r="M42" s="57"/>
      <c r="N42" s="2"/>
      <c r="O42" s="2"/>
      <c r="P42" s="2"/>
      <c r="Q42" s="2"/>
      <c r="R42" s="2"/>
      <c r="S42" s="2"/>
      <c r="T42" s="67" t="b">
        <v>0</v>
      </c>
      <c r="U42" s="2"/>
      <c r="V42" s="2"/>
      <c r="W42" s="2"/>
      <c r="X42" s="2"/>
      <c r="Y42" s="2"/>
      <c r="Z42" s="2"/>
      <c r="AA42" s="57"/>
      <c r="AB42" s="2"/>
      <c r="AC42" s="2"/>
      <c r="AD42" s="2"/>
      <c r="AE42" s="2"/>
      <c r="AF42" s="2"/>
      <c r="AG42" s="2"/>
      <c r="AH42" s="56"/>
      <c r="AI42" s="43" t="b">
        <v>0</v>
      </c>
      <c r="AJ42" s="32">
        <f>COUNTA($F$8:$AI$8)-COUNTBLANK(F41:AI41)</f>
        <v>1</v>
      </c>
      <c r="AK42" s="3"/>
    </row>
    <row r="43" spans="2:37" ht="18.75" customHeight="1" x14ac:dyDescent="0.25">
      <c r="B43" s="8">
        <f t="shared" si="0"/>
        <v>35</v>
      </c>
      <c r="C43" s="4" t="s">
        <v>97</v>
      </c>
      <c r="D43" s="17" t="s">
        <v>75</v>
      </c>
      <c r="E43" s="60" t="s">
        <v>34</v>
      </c>
      <c r="F43" s="56"/>
      <c r="G43" s="48"/>
      <c r="H43" s="48"/>
      <c r="I43" s="48"/>
      <c r="J43" s="48"/>
      <c r="K43" s="48"/>
      <c r="L43" s="48"/>
      <c r="M43" s="57"/>
      <c r="N43" s="2"/>
      <c r="O43" s="2"/>
      <c r="P43" s="2"/>
      <c r="Q43" s="2"/>
      <c r="R43" s="2"/>
      <c r="S43" s="2"/>
      <c r="T43" s="57"/>
      <c r="U43" s="2"/>
      <c r="V43" s="2"/>
      <c r="W43" s="2"/>
      <c r="X43" s="2"/>
      <c r="Y43" s="2"/>
      <c r="Z43" s="2"/>
      <c r="AA43" s="57"/>
      <c r="AB43" s="2"/>
      <c r="AC43" s="2"/>
      <c r="AD43" s="33" t="b">
        <v>0</v>
      </c>
      <c r="AF43" s="2"/>
      <c r="AG43" s="2"/>
      <c r="AH43" s="56"/>
      <c r="AI43" s="20"/>
      <c r="AJ43" s="32">
        <f>COUNTA($F$8:$AI$8)-COUNTBLANK(F42:AI42)</f>
        <v>2</v>
      </c>
      <c r="AK43" s="3"/>
    </row>
    <row r="44" spans="2:37" ht="18.75" customHeight="1" x14ac:dyDescent="0.25">
      <c r="B44" s="8">
        <f t="shared" si="0"/>
        <v>36</v>
      </c>
      <c r="C44" s="4" t="s">
        <v>97</v>
      </c>
      <c r="D44" s="13" t="s">
        <v>76</v>
      </c>
      <c r="E44" s="57"/>
      <c r="F44" s="56"/>
      <c r="G44" s="48"/>
      <c r="H44" s="48"/>
      <c r="I44" s="48"/>
      <c r="J44" s="48"/>
      <c r="K44" s="48"/>
      <c r="L44" s="48"/>
      <c r="M44" s="57"/>
      <c r="N44" s="2"/>
      <c r="O44" s="2"/>
      <c r="P44" s="2"/>
      <c r="Q44" s="2"/>
      <c r="R44" s="2"/>
      <c r="S44" s="2"/>
      <c r="T44" s="57"/>
      <c r="U44" s="2"/>
      <c r="V44" s="2"/>
      <c r="W44" s="2"/>
      <c r="X44" s="2"/>
      <c r="Y44" s="2"/>
      <c r="Z44" s="2"/>
      <c r="AA44" s="57"/>
      <c r="AB44" s="2"/>
      <c r="AC44" s="2"/>
      <c r="AD44" s="62"/>
      <c r="AE44" s="33" t="b">
        <v>0</v>
      </c>
      <c r="AF44" s="2"/>
      <c r="AG44" s="2"/>
      <c r="AH44" s="56"/>
      <c r="AI44" s="13"/>
      <c r="AJ44" s="32">
        <f>COUNTA($F$8:$AI$8)-COUNTBLANK(F43:AI43)</f>
        <v>1</v>
      </c>
      <c r="AK44" s="3"/>
    </row>
    <row r="45" spans="2:37" ht="18.75" customHeight="1" x14ac:dyDescent="0.25">
      <c r="B45" s="8">
        <f t="shared" si="0"/>
        <v>37</v>
      </c>
      <c r="C45" s="4" t="s">
        <v>97</v>
      </c>
      <c r="D45" s="13" t="s">
        <v>77</v>
      </c>
      <c r="E45" s="57"/>
      <c r="F45" s="56"/>
      <c r="G45" s="48"/>
      <c r="H45" s="48"/>
      <c r="I45" s="48"/>
      <c r="J45" s="48"/>
      <c r="K45" s="48"/>
      <c r="L45" s="48"/>
      <c r="M45" s="57"/>
      <c r="N45" s="2"/>
      <c r="O45" s="2"/>
      <c r="P45" s="2"/>
      <c r="Q45" s="2"/>
      <c r="R45" s="2"/>
      <c r="S45" s="2"/>
      <c r="T45" s="57"/>
      <c r="U45" s="2"/>
      <c r="V45" s="2"/>
      <c r="W45" s="2"/>
      <c r="X45" s="2"/>
      <c r="Y45" s="2"/>
      <c r="Z45" s="2"/>
      <c r="AA45" s="57"/>
      <c r="AB45" s="2"/>
      <c r="AC45" s="2"/>
      <c r="AD45" s="2"/>
      <c r="AE45" s="62"/>
      <c r="AF45" s="33" t="b">
        <v>0</v>
      </c>
      <c r="AG45" s="2"/>
      <c r="AH45" s="57"/>
      <c r="AI45" s="20"/>
      <c r="AJ45" s="32">
        <f>COUNTA($F$8:$AI$8)-COUNTBLANK(F44:AI44)</f>
        <v>1</v>
      </c>
      <c r="AK45" s="3"/>
    </row>
    <row r="46" spans="2:37" ht="18.75" customHeight="1" x14ac:dyDescent="0.25">
      <c r="B46" s="8">
        <f>ROW()-8</f>
        <v>38</v>
      </c>
      <c r="C46" s="4" t="s">
        <v>97</v>
      </c>
      <c r="D46" s="13" t="s">
        <v>45</v>
      </c>
      <c r="E46" s="57"/>
      <c r="F46" s="56"/>
      <c r="G46" s="73"/>
      <c r="H46" s="73"/>
      <c r="I46" s="73"/>
      <c r="J46" s="73"/>
      <c r="K46" s="73"/>
      <c r="L46" s="73"/>
      <c r="M46" s="57"/>
      <c r="N46" s="77"/>
      <c r="O46" s="77"/>
      <c r="P46" s="77"/>
      <c r="Q46" s="77"/>
      <c r="R46" s="77"/>
      <c r="S46" s="77"/>
      <c r="T46" s="57"/>
      <c r="U46" s="77"/>
      <c r="V46" s="77"/>
      <c r="W46" s="77"/>
      <c r="X46" s="77"/>
      <c r="Y46" s="77"/>
      <c r="Z46" s="77"/>
      <c r="AA46" s="57"/>
      <c r="AB46" s="77"/>
      <c r="AC46" s="77"/>
      <c r="AD46" s="77"/>
      <c r="AE46" s="74"/>
      <c r="AF46" s="75" t="b">
        <v>0</v>
      </c>
      <c r="AG46" s="77"/>
      <c r="AH46" s="56"/>
      <c r="AI46" s="20"/>
      <c r="AJ46" s="32">
        <f>COUNTA($F$8:$AI$8)-COUNTBLANK(F45:AI45)</f>
        <v>1</v>
      </c>
      <c r="AK46" s="3"/>
    </row>
    <row r="47" spans="2:37" ht="18.75" customHeight="1" x14ac:dyDescent="0.25">
      <c r="B47" s="8">
        <f t="shared" si="0"/>
        <v>39</v>
      </c>
      <c r="C47" s="4" t="s">
        <v>97</v>
      </c>
      <c r="D47" s="13" t="s">
        <v>493</v>
      </c>
      <c r="E47" s="57"/>
      <c r="F47" s="57"/>
      <c r="G47" s="73"/>
      <c r="H47" s="74"/>
      <c r="I47" s="48"/>
      <c r="J47" s="76"/>
      <c r="K47" s="73"/>
      <c r="L47" s="73"/>
      <c r="M47" s="57"/>
      <c r="N47" s="77"/>
      <c r="O47" s="77"/>
      <c r="P47" s="77"/>
      <c r="Q47" s="77"/>
      <c r="R47" s="77"/>
      <c r="S47" s="77"/>
      <c r="T47" s="57"/>
      <c r="U47" s="77"/>
      <c r="V47" s="77"/>
      <c r="W47" s="77"/>
      <c r="X47" s="77"/>
      <c r="Y47" s="77"/>
      <c r="Z47" s="77"/>
      <c r="AA47" s="57"/>
      <c r="AB47" s="77"/>
      <c r="AC47" s="77"/>
      <c r="AD47" s="77"/>
      <c r="AE47" s="77"/>
      <c r="AF47" s="77"/>
      <c r="AG47" s="77"/>
      <c r="AH47" s="57"/>
      <c r="AI47" s="43" t="b">
        <v>0</v>
      </c>
      <c r="AJ47" s="32">
        <f>COUNTA($F$8:$AI$8)-COUNTBLANK(F46:AI46)</f>
        <v>1</v>
      </c>
      <c r="AK47" s="3"/>
    </row>
    <row r="48" spans="2:37" ht="18.75" customHeight="1" x14ac:dyDescent="0.25">
      <c r="B48" s="8">
        <f>ROW()-8</f>
        <v>40</v>
      </c>
      <c r="C48" s="4" t="s">
        <v>97</v>
      </c>
      <c r="D48" s="13" t="s">
        <v>78</v>
      </c>
      <c r="E48" s="57"/>
      <c r="F48" s="56"/>
      <c r="G48" s="48"/>
      <c r="H48" s="48"/>
      <c r="I48" s="48"/>
      <c r="J48" s="48"/>
      <c r="K48" s="48"/>
      <c r="L48" s="48"/>
      <c r="M48" s="57"/>
      <c r="N48" s="2"/>
      <c r="O48" s="2"/>
      <c r="P48" s="2"/>
      <c r="Q48" s="2"/>
      <c r="R48" s="2"/>
      <c r="S48" s="2"/>
      <c r="T48" s="57"/>
      <c r="U48" s="2"/>
      <c r="V48" s="2"/>
      <c r="W48" s="2"/>
      <c r="X48" s="2"/>
      <c r="Y48" s="2"/>
      <c r="Z48" s="2"/>
      <c r="AA48" s="57"/>
      <c r="AB48" s="2"/>
      <c r="AC48" s="2"/>
      <c r="AD48" s="2"/>
      <c r="AE48" s="62"/>
      <c r="AG48" s="2"/>
      <c r="AH48" s="56"/>
      <c r="AI48" s="43" t="b">
        <v>0</v>
      </c>
      <c r="AJ48" s="32">
        <f>COUNTA($F$8:$AI$8)-COUNTBLANK(F48:AI48)</f>
        <v>1</v>
      </c>
      <c r="AK48" s="3"/>
    </row>
    <row r="49" spans="2:37" ht="18.75" customHeight="1" x14ac:dyDescent="0.25">
      <c r="B49" s="8">
        <f t="shared" si="0"/>
        <v>41</v>
      </c>
      <c r="C49" s="4" t="s">
        <v>97</v>
      </c>
      <c r="D49" s="13" t="s">
        <v>26</v>
      </c>
      <c r="E49" s="57"/>
      <c r="F49" s="56"/>
      <c r="G49" s="48"/>
      <c r="H49" s="48"/>
      <c r="I49" s="48"/>
      <c r="J49" s="48"/>
      <c r="K49" s="48"/>
      <c r="L49" s="48"/>
      <c r="M49" s="57"/>
      <c r="N49" s="2"/>
      <c r="O49" s="2"/>
      <c r="P49" s="2"/>
      <c r="Q49" s="2"/>
      <c r="R49" s="2"/>
      <c r="S49" s="2"/>
      <c r="T49" s="57"/>
      <c r="U49" s="2"/>
      <c r="V49" s="2"/>
      <c r="W49" s="2"/>
      <c r="X49" s="2"/>
      <c r="Y49" s="2"/>
      <c r="Z49" s="2"/>
      <c r="AA49" s="57"/>
      <c r="AB49" s="2"/>
      <c r="AC49" s="2"/>
      <c r="AD49" s="2"/>
      <c r="AF49" s="2"/>
      <c r="AG49" s="2"/>
      <c r="AH49" s="56"/>
      <c r="AI49" s="43" t="b">
        <v>0</v>
      </c>
      <c r="AJ49" s="32">
        <f>COUNTA($F$8:$AI$8)-COUNTBLANK(F49:AI49)</f>
        <v>1</v>
      </c>
      <c r="AK49" s="3"/>
    </row>
    <row r="50" spans="2:37" ht="18.75" customHeight="1" x14ac:dyDescent="0.25">
      <c r="B50" s="8">
        <f t="shared" si="0"/>
        <v>42</v>
      </c>
      <c r="C50" s="4" t="s">
        <v>97</v>
      </c>
      <c r="D50" s="13" t="s">
        <v>27</v>
      </c>
      <c r="E50" s="57"/>
      <c r="F50" s="56"/>
      <c r="G50" s="48"/>
      <c r="H50" s="48"/>
      <c r="I50" s="48"/>
      <c r="J50" s="48"/>
      <c r="K50" s="48"/>
      <c r="L50" s="48"/>
      <c r="M50" s="57"/>
      <c r="N50" s="2"/>
      <c r="O50" s="2"/>
      <c r="P50" s="2"/>
      <c r="Q50" s="2"/>
      <c r="R50" s="2"/>
      <c r="S50" s="2"/>
      <c r="T50" s="57"/>
      <c r="U50" s="2"/>
      <c r="V50" s="2"/>
      <c r="W50" s="2"/>
      <c r="X50" s="2"/>
      <c r="Y50" s="2"/>
      <c r="Z50" s="2"/>
      <c r="AA50" s="57"/>
      <c r="AB50" s="2"/>
      <c r="AC50" s="2"/>
      <c r="AD50" s="2"/>
      <c r="AF50" s="2"/>
      <c r="AG50" s="2"/>
      <c r="AH50" s="56"/>
      <c r="AI50" s="43" t="b">
        <v>0</v>
      </c>
      <c r="AJ50" s="32">
        <f>COUNTA($F$8:$AI$8)-COUNTBLANK(F50:AI50)</f>
        <v>1</v>
      </c>
      <c r="AK50" s="3"/>
    </row>
    <row r="51" spans="2:37" ht="18.75" customHeight="1" x14ac:dyDescent="0.25">
      <c r="B51" s="8">
        <f t="shared" si="0"/>
        <v>43</v>
      </c>
      <c r="C51" s="4" t="s">
        <v>97</v>
      </c>
      <c r="D51" s="14" t="s">
        <v>41</v>
      </c>
      <c r="E51" s="34"/>
      <c r="F51" s="59"/>
      <c r="G51" s="11"/>
      <c r="H51" s="11"/>
      <c r="I51" s="11"/>
      <c r="J51" s="11"/>
      <c r="K51" s="11"/>
      <c r="L51" s="11"/>
      <c r="M51" s="34"/>
      <c r="N51" s="10"/>
      <c r="O51" s="10"/>
      <c r="P51" s="10"/>
      <c r="Q51" s="10"/>
      <c r="R51" s="10"/>
      <c r="S51" s="10"/>
      <c r="T51" s="34"/>
      <c r="U51" s="10"/>
      <c r="V51" s="10"/>
      <c r="W51" s="10"/>
      <c r="X51" s="10"/>
      <c r="Y51" s="10"/>
      <c r="Z51" s="10"/>
      <c r="AA51" s="34"/>
      <c r="AB51" s="10"/>
      <c r="AC51" s="10"/>
      <c r="AD51" s="10"/>
      <c r="AE51" s="9"/>
      <c r="AF51" s="10"/>
      <c r="AG51" s="10"/>
      <c r="AH51" s="69"/>
      <c r="AI51" s="63" t="b">
        <v>0</v>
      </c>
      <c r="AJ51" s="32">
        <f>COUNTA($F$8:$AI$8)-COUNTBLANK(F51:AI51)</f>
        <v>1</v>
      </c>
      <c r="AK51" s="3"/>
    </row>
    <row r="52" spans="2:37" ht="16.5" x14ac:dyDescent="0.25">
      <c r="B52" s="8"/>
      <c r="C52" s="8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D52" s="4"/>
      <c r="AE52" s="4"/>
      <c r="AF52" s="4"/>
      <c r="AG52" s="4"/>
      <c r="AH52" s="4"/>
      <c r="AI52" s="4"/>
    </row>
    <row r="53" spans="2:37" ht="18.75" customHeight="1" x14ac:dyDescent="0.25">
      <c r="E53" s="18"/>
    </row>
    <row r="54" spans="2:37" ht="16.5" x14ac:dyDescent="0.25"/>
    <row r="55" spans="2:37" ht="18.75" customHeight="1" x14ac:dyDescent="0.25">
      <c r="E55" s="7"/>
    </row>
    <row r="57" spans="2:37" ht="18.75" customHeight="1" x14ac:dyDescent="0.25">
      <c r="D57" s="6"/>
      <c r="E57" s="6"/>
    </row>
    <row r="58" spans="2:37" ht="18.75" customHeight="1" x14ac:dyDescent="0.25">
      <c r="D58" s="6"/>
      <c r="E58" s="6"/>
    </row>
    <row r="62" spans="2:37" ht="18.75" customHeight="1" x14ac:dyDescent="0.25">
      <c r="D62" s="6"/>
      <c r="E62" s="6"/>
    </row>
  </sheetData>
  <mergeCells count="5">
    <mergeCell ref="F5:L5"/>
    <mergeCell ref="M5:S5"/>
    <mergeCell ref="T5:Z5"/>
    <mergeCell ref="AA5:AG5"/>
    <mergeCell ref="AH5:AI5"/>
  </mergeCells>
  <phoneticPr fontId="24" type="noConversion"/>
  <conditionalFormatting sqref="F52:AB52 AD52:AI52">
    <cfRule type="expression" dxfId="15" priority="11">
      <formula>"✔️"</formula>
    </cfRule>
  </conditionalFormatting>
  <conditionalFormatting sqref="F9:AI23 L24:AF24 I24:Q28 S24:X29 Z24:AE29 K29:Q29 I29:I30 M29:N30 P29:R30 T29:U30 W29:Y30 AA29:AB30 AD29:AF30 I31:J31 L31 N31:S33 U31:Z33 AB31:AF33 I32:L33 F34:AF35 F36:I36 L36:P36 S36:W36 Z36:AD36 J36:J37 Q36:Q37 X36:X37 AE36:AE37 H37:I37 K37:M37 O37:P37 R37:T37 V37:W37 Y37:AA37 AC37:AD37 AF37 M41:AI41 F41:G42 M42:AG42 AI42 AD43 G43:AC44 AE44 AG44 AI44 AH45 AF45:AF46 AI48:AI51 AF49:AG51 F51:AD51 AF46:AG47 F37:F40 K38:AI40 I38:I41 G45:AD46 G48:AD50 F47:H47 J47:AI47">
    <cfRule type="cellIs" dxfId="14" priority="10" operator="equal">
      <formula>TRUE</formula>
    </cfRule>
  </conditionalFormatting>
  <conditionalFormatting sqref="AH24:AI30 AI31:AI33 AH34:AI36 AH37">
    <cfRule type="cellIs" dxfId="13" priority="1" operator="equal">
      <formula>TRUE</formula>
    </cfRule>
  </conditionalFormatting>
  <conditionalFormatting sqref="AJ6:AK6 AJ9:AJ51">
    <cfRule type="expression" dxfId="12" priority="9">
      <formula>COUNTIF(F6:AI6, "VERDADERO")=AJ6</formula>
    </cfRule>
  </conditionalFormatting>
  <conditionalFormatting sqref="AK11:AK51">
    <cfRule type="expression" dxfId="11" priority="52">
      <formula>COUNTIF(AJ11:AJ11, "VERDADERO")=AK11</formula>
    </cfRule>
  </conditionalFormatting>
  <conditionalFormatting sqref="F6:AI6">
    <cfRule type="expression" dxfId="10" priority="157">
      <formula>COUNTIF(F9:F51, "VERDADERO")=F6</formula>
    </cfRule>
  </conditionalFormatting>
  <pageMargins left="0.7" right="0.7" top="0.75" bottom="0.75" header="0.3" footer="0.3"/>
  <pageSetup paperSize="9" scale="50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77226-E34D-4F36-83F7-6FAE529E1D1B}">
  <dimension ref="B2:D48"/>
  <sheetViews>
    <sheetView showGridLines="0" workbookViewId="0"/>
  </sheetViews>
  <sheetFormatPr baseColWidth="10" defaultColWidth="11.42578125" defaultRowHeight="18.75" customHeight="1" x14ac:dyDescent="0.25"/>
  <cols>
    <col min="1" max="1" width="11.42578125" style="24"/>
    <col min="2" max="2" width="10" style="24" customWidth="1"/>
    <col min="3" max="3" width="68.140625" style="26" customWidth="1"/>
    <col min="4" max="4" width="16.5703125" style="24" bestFit="1" customWidth="1"/>
    <col min="5" max="16384" width="11.42578125" style="24"/>
  </cols>
  <sheetData>
    <row r="2" spans="2:4" ht="30.75" x14ac:dyDescent="0.25">
      <c r="B2" s="23" t="s">
        <v>36</v>
      </c>
    </row>
    <row r="5" spans="2:4" ht="18.75" customHeight="1" x14ac:dyDescent="0.25">
      <c r="B5" s="24" t="s">
        <v>25</v>
      </c>
      <c r="C5" s="24" t="s">
        <v>22</v>
      </c>
      <c r="D5" s="26" t="s">
        <v>9</v>
      </c>
    </row>
    <row r="6" spans="2:4" ht="18.75" customHeight="1" x14ac:dyDescent="0.25">
      <c r="B6" s="24">
        <f>ROW()-5</f>
        <v>1</v>
      </c>
      <c r="C6" s="24" t="s">
        <v>17</v>
      </c>
      <c r="D6" s="26">
        <v>4</v>
      </c>
    </row>
    <row r="7" spans="2:4" ht="18.75" customHeight="1" x14ac:dyDescent="0.25">
      <c r="B7" s="24">
        <f t="shared" ref="B7:B48" si="0">ROW()-5</f>
        <v>2</v>
      </c>
      <c r="C7" s="24" t="s">
        <v>60</v>
      </c>
      <c r="D7" s="26">
        <v>2</v>
      </c>
    </row>
    <row r="8" spans="2:4" ht="18.75" customHeight="1" x14ac:dyDescent="0.25">
      <c r="B8" s="24">
        <f t="shared" si="0"/>
        <v>3</v>
      </c>
      <c r="C8" s="24" t="s">
        <v>61</v>
      </c>
      <c r="D8" s="26">
        <v>12</v>
      </c>
    </row>
    <row r="9" spans="2:4" ht="18.75" customHeight="1" x14ac:dyDescent="0.25">
      <c r="B9" s="24">
        <f t="shared" si="0"/>
        <v>4</v>
      </c>
      <c r="C9" s="24" t="s">
        <v>62</v>
      </c>
      <c r="D9" s="26">
        <v>12</v>
      </c>
    </row>
    <row r="10" spans="2:4" ht="18.75" customHeight="1" x14ac:dyDescent="0.25">
      <c r="B10" s="24">
        <f t="shared" si="0"/>
        <v>5</v>
      </c>
      <c r="C10" s="24" t="s">
        <v>63</v>
      </c>
      <c r="D10" s="26">
        <v>2</v>
      </c>
    </row>
    <row r="11" spans="2:4" ht="18.75" customHeight="1" x14ac:dyDescent="0.25">
      <c r="B11" s="24">
        <f t="shared" si="0"/>
        <v>6</v>
      </c>
      <c r="C11" s="24" t="s">
        <v>64</v>
      </c>
      <c r="D11" s="26">
        <v>2</v>
      </c>
    </row>
    <row r="12" spans="2:4" ht="18.75" customHeight="1" x14ac:dyDescent="0.25">
      <c r="B12" s="24">
        <f t="shared" si="0"/>
        <v>7</v>
      </c>
      <c r="C12" s="24" t="s">
        <v>65</v>
      </c>
      <c r="D12" s="26">
        <v>20</v>
      </c>
    </row>
    <row r="13" spans="2:4" ht="18.75" customHeight="1" x14ac:dyDescent="0.25">
      <c r="B13" s="24">
        <f t="shared" si="0"/>
        <v>8</v>
      </c>
      <c r="C13" s="24" t="s">
        <v>66</v>
      </c>
      <c r="D13" s="26">
        <v>20</v>
      </c>
    </row>
    <row r="14" spans="2:4" ht="18.75" customHeight="1" x14ac:dyDescent="0.25">
      <c r="B14" s="24">
        <f t="shared" si="0"/>
        <v>9</v>
      </c>
      <c r="C14" s="24" t="s">
        <v>47</v>
      </c>
      <c r="D14" s="26">
        <v>2</v>
      </c>
    </row>
    <row r="15" spans="2:4" ht="18.75" customHeight="1" x14ac:dyDescent="0.25">
      <c r="B15" s="24">
        <f t="shared" si="0"/>
        <v>10</v>
      </c>
      <c r="C15" s="24" t="s">
        <v>13</v>
      </c>
      <c r="D15" s="26">
        <v>2</v>
      </c>
    </row>
    <row r="16" spans="2:4" ht="18.75" customHeight="1" x14ac:dyDescent="0.25">
      <c r="B16" s="24">
        <f t="shared" si="0"/>
        <v>11</v>
      </c>
      <c r="C16" s="24" t="s">
        <v>14</v>
      </c>
      <c r="D16" s="26">
        <v>2</v>
      </c>
    </row>
    <row r="17" spans="2:4" ht="18.75" customHeight="1" x14ac:dyDescent="0.25">
      <c r="B17" s="24">
        <f t="shared" si="0"/>
        <v>12</v>
      </c>
      <c r="C17" s="24" t="s">
        <v>19</v>
      </c>
      <c r="D17" s="26">
        <v>8</v>
      </c>
    </row>
    <row r="18" spans="2:4" ht="18.75" customHeight="1" x14ac:dyDescent="0.25">
      <c r="B18" s="24">
        <f t="shared" si="0"/>
        <v>13</v>
      </c>
      <c r="C18" s="24" t="s">
        <v>21</v>
      </c>
      <c r="D18" s="26">
        <v>2</v>
      </c>
    </row>
    <row r="19" spans="2:4" ht="18.75" customHeight="1" x14ac:dyDescent="0.25">
      <c r="B19" s="24">
        <f t="shared" si="0"/>
        <v>14</v>
      </c>
      <c r="C19" s="24" t="s">
        <v>67</v>
      </c>
      <c r="D19" s="26">
        <v>2</v>
      </c>
    </row>
    <row r="20" spans="2:4" ht="18.75" customHeight="1" x14ac:dyDescent="0.25">
      <c r="B20" s="24">
        <f t="shared" si="0"/>
        <v>15</v>
      </c>
      <c r="C20" s="24" t="s">
        <v>18</v>
      </c>
      <c r="D20" s="26">
        <v>2</v>
      </c>
    </row>
    <row r="21" spans="2:4" ht="18.75" customHeight="1" x14ac:dyDescent="0.25">
      <c r="B21" s="24">
        <f t="shared" si="0"/>
        <v>16</v>
      </c>
      <c r="C21" s="24" t="s">
        <v>30</v>
      </c>
      <c r="D21" s="26">
        <v>2</v>
      </c>
    </row>
    <row r="22" spans="2:4" ht="18.75" customHeight="1" x14ac:dyDescent="0.25">
      <c r="B22" s="24">
        <f t="shared" si="0"/>
        <v>17</v>
      </c>
      <c r="C22" s="24" t="s">
        <v>29</v>
      </c>
      <c r="D22" s="26">
        <v>2</v>
      </c>
    </row>
    <row r="23" spans="2:4" ht="18.75" customHeight="1" x14ac:dyDescent="0.25">
      <c r="B23" s="24">
        <f t="shared" si="0"/>
        <v>18</v>
      </c>
      <c r="C23" s="24" t="s">
        <v>91</v>
      </c>
      <c r="D23" s="26">
        <v>8</v>
      </c>
    </row>
    <row r="24" spans="2:4" ht="18.75" customHeight="1" x14ac:dyDescent="0.25">
      <c r="B24" s="24">
        <f t="shared" si="0"/>
        <v>19</v>
      </c>
      <c r="C24" s="24" t="s">
        <v>50</v>
      </c>
      <c r="D24" s="26">
        <v>8</v>
      </c>
    </row>
    <row r="25" spans="2:4" ht="18.75" customHeight="1" x14ac:dyDescent="0.25">
      <c r="B25" s="24">
        <f t="shared" si="0"/>
        <v>20</v>
      </c>
      <c r="C25" s="24" t="s">
        <v>79</v>
      </c>
      <c r="D25" s="26">
        <v>8</v>
      </c>
    </row>
    <row r="26" spans="2:4" ht="18.75" customHeight="1" x14ac:dyDescent="0.25">
      <c r="B26" s="24">
        <f t="shared" si="0"/>
        <v>21</v>
      </c>
      <c r="C26" s="24" t="s">
        <v>35</v>
      </c>
      <c r="D26" s="26">
        <v>8</v>
      </c>
    </row>
    <row r="27" spans="2:4" ht="18.75" customHeight="1" x14ac:dyDescent="0.25">
      <c r="B27" s="24">
        <f t="shared" si="0"/>
        <v>22</v>
      </c>
      <c r="C27" s="24" t="s">
        <v>31</v>
      </c>
      <c r="D27" s="26">
        <v>12</v>
      </c>
    </row>
    <row r="28" spans="2:4" ht="18.75" customHeight="1" x14ac:dyDescent="0.25">
      <c r="B28" s="24">
        <f t="shared" si="0"/>
        <v>23</v>
      </c>
      <c r="C28" s="24" t="s">
        <v>32</v>
      </c>
      <c r="D28" s="26">
        <v>8</v>
      </c>
    </row>
    <row r="29" spans="2:4" ht="18.75" customHeight="1" x14ac:dyDescent="0.25">
      <c r="B29" s="24">
        <f>ROW()-5</f>
        <v>24</v>
      </c>
      <c r="C29" s="24" t="s">
        <v>99</v>
      </c>
      <c r="D29" s="26">
        <v>8</v>
      </c>
    </row>
    <row r="30" spans="2:4" ht="18.75" customHeight="1" x14ac:dyDescent="0.25">
      <c r="B30" s="24">
        <f t="shared" si="0"/>
        <v>25</v>
      </c>
      <c r="C30" s="24" t="s">
        <v>33</v>
      </c>
      <c r="D30" s="26">
        <v>6</v>
      </c>
    </row>
    <row r="31" spans="2:4" ht="18.75" customHeight="1" x14ac:dyDescent="0.25">
      <c r="B31" s="24">
        <f t="shared" si="0"/>
        <v>26</v>
      </c>
      <c r="C31" s="24" t="s">
        <v>80</v>
      </c>
      <c r="D31" s="26">
        <v>20</v>
      </c>
    </row>
    <row r="32" spans="2:4" ht="18.75" customHeight="1" x14ac:dyDescent="0.25">
      <c r="B32" s="24">
        <f>ROW()-5</f>
        <v>27</v>
      </c>
      <c r="C32" s="24" t="s">
        <v>94</v>
      </c>
      <c r="D32" s="26">
        <v>8</v>
      </c>
    </row>
    <row r="33" spans="2:4" ht="18.75" customHeight="1" x14ac:dyDescent="0.25">
      <c r="B33" s="24">
        <f t="shared" si="0"/>
        <v>28</v>
      </c>
      <c r="C33" s="24" t="s">
        <v>28</v>
      </c>
      <c r="D33" s="26">
        <v>12</v>
      </c>
    </row>
    <row r="34" spans="2:4" ht="18.75" customHeight="1" x14ac:dyDescent="0.25">
      <c r="B34" s="24">
        <f t="shared" si="0"/>
        <v>29</v>
      </c>
      <c r="C34" s="24" t="s">
        <v>43</v>
      </c>
      <c r="D34" s="26">
        <v>20</v>
      </c>
    </row>
    <row r="35" spans="2:4" ht="18.75" customHeight="1" x14ac:dyDescent="0.25">
      <c r="B35" s="24">
        <f t="shared" si="0"/>
        <v>30</v>
      </c>
      <c r="C35" s="24" t="s">
        <v>81</v>
      </c>
      <c r="D35" s="26">
        <v>12</v>
      </c>
    </row>
    <row r="36" spans="2:4" ht="18.75" customHeight="1" x14ac:dyDescent="0.25">
      <c r="B36" s="24">
        <f t="shared" si="0"/>
        <v>31</v>
      </c>
      <c r="C36" s="24" t="s">
        <v>82</v>
      </c>
      <c r="D36" s="26">
        <v>15</v>
      </c>
    </row>
    <row r="37" spans="2:4" ht="18.75" customHeight="1" x14ac:dyDescent="0.25">
      <c r="B37" s="24">
        <f t="shared" si="0"/>
        <v>32</v>
      </c>
      <c r="C37" s="24" t="s">
        <v>83</v>
      </c>
      <c r="D37" s="26">
        <v>30</v>
      </c>
    </row>
    <row r="38" spans="2:4" ht="18.75" customHeight="1" x14ac:dyDescent="0.25">
      <c r="B38" s="24">
        <f t="shared" si="0"/>
        <v>33</v>
      </c>
      <c r="C38" s="24" t="s">
        <v>84</v>
      </c>
      <c r="D38" s="26">
        <v>30</v>
      </c>
    </row>
    <row r="39" spans="2:4" ht="18.75" customHeight="1" x14ac:dyDescent="0.25">
      <c r="B39" s="24">
        <f t="shared" si="0"/>
        <v>34</v>
      </c>
      <c r="C39" s="24" t="s">
        <v>85</v>
      </c>
      <c r="D39" s="26">
        <v>2</v>
      </c>
    </row>
    <row r="40" spans="2:4" ht="18.75" customHeight="1" x14ac:dyDescent="0.25">
      <c r="B40" s="24">
        <f t="shared" si="0"/>
        <v>35</v>
      </c>
      <c r="C40" s="24" t="s">
        <v>86</v>
      </c>
      <c r="D40" s="26">
        <v>8</v>
      </c>
    </row>
    <row r="41" spans="2:4" ht="18.75" customHeight="1" x14ac:dyDescent="0.25">
      <c r="B41" s="24">
        <f t="shared" si="0"/>
        <v>36</v>
      </c>
      <c r="C41" s="24" t="s">
        <v>87</v>
      </c>
      <c r="D41" s="26">
        <v>60</v>
      </c>
    </row>
    <row r="42" spans="2:4" ht="18.75" customHeight="1" x14ac:dyDescent="0.25">
      <c r="B42" s="24">
        <f t="shared" si="0"/>
        <v>37</v>
      </c>
      <c r="C42" s="24" t="s">
        <v>88</v>
      </c>
      <c r="D42" s="26">
        <v>120</v>
      </c>
    </row>
    <row r="43" spans="2:4" ht="18.75" customHeight="1" x14ac:dyDescent="0.25">
      <c r="B43" s="24">
        <f t="shared" si="0"/>
        <v>38</v>
      </c>
      <c r="C43" s="24" t="s">
        <v>89</v>
      </c>
      <c r="D43" s="26">
        <v>60</v>
      </c>
    </row>
    <row r="44" spans="2:4" ht="18.75" customHeight="1" x14ac:dyDescent="0.25">
      <c r="B44" s="24">
        <f t="shared" si="0"/>
        <v>39</v>
      </c>
      <c r="C44" s="24" t="s">
        <v>46</v>
      </c>
      <c r="D44" s="26">
        <v>30</v>
      </c>
    </row>
    <row r="45" spans="2:4" ht="18.75" customHeight="1" x14ac:dyDescent="0.25">
      <c r="B45" s="24">
        <f t="shared" si="0"/>
        <v>40</v>
      </c>
      <c r="C45" s="24" t="s">
        <v>90</v>
      </c>
      <c r="D45" s="26">
        <v>6</v>
      </c>
    </row>
    <row r="46" spans="2:4" ht="18.75" customHeight="1" x14ac:dyDescent="0.25">
      <c r="B46" s="24">
        <f t="shared" si="0"/>
        <v>41</v>
      </c>
      <c r="C46" s="24" t="s">
        <v>8</v>
      </c>
      <c r="D46" s="26">
        <v>1</v>
      </c>
    </row>
    <row r="47" spans="2:4" ht="18.75" customHeight="1" x14ac:dyDescent="0.25">
      <c r="B47" s="24">
        <f t="shared" si="0"/>
        <v>42</v>
      </c>
      <c r="C47" s="24" t="s">
        <v>12</v>
      </c>
      <c r="D47" s="26">
        <v>4</v>
      </c>
    </row>
    <row r="48" spans="2:4" ht="18.75" customHeight="1" x14ac:dyDescent="0.25">
      <c r="B48" s="24">
        <f t="shared" si="0"/>
        <v>43</v>
      </c>
      <c r="C48" s="24" t="s">
        <v>42</v>
      </c>
      <c r="D48" s="26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C902-084D-49BD-A58F-E3FCF20A7899}">
  <dimension ref="B2:N368"/>
  <sheetViews>
    <sheetView showGridLines="0" workbookViewId="0"/>
  </sheetViews>
  <sheetFormatPr baseColWidth="10" defaultColWidth="11.42578125" defaultRowHeight="18.75" customHeight="1" x14ac:dyDescent="0.25"/>
  <cols>
    <col min="1" max="1" width="11.42578125" style="24"/>
    <col min="2" max="2" width="22" style="24" customWidth="1"/>
    <col min="3" max="3" width="50.140625" style="24" customWidth="1"/>
    <col min="4" max="4" width="58" style="24" customWidth="1"/>
    <col min="5" max="5" width="14.85546875" style="25" bestFit="1" customWidth="1"/>
    <col min="6" max="6" width="10.42578125" style="24" bestFit="1" customWidth="1"/>
    <col min="7" max="7" width="9.140625" style="24" bestFit="1" customWidth="1"/>
    <col min="8" max="8" width="16.5703125" style="24" bestFit="1" customWidth="1"/>
    <col min="9" max="9" width="11.5703125" style="24" bestFit="1" customWidth="1"/>
    <col min="10" max="10" width="16.140625" style="24" bestFit="1" customWidth="1"/>
    <col min="11" max="11" width="11.85546875" style="24" bestFit="1" customWidth="1"/>
    <col min="12" max="12" width="17.42578125" style="24" customWidth="1"/>
    <col min="13" max="13" width="15.42578125" style="24" customWidth="1"/>
    <col min="14" max="14" width="21.140625" style="26" bestFit="1" customWidth="1"/>
    <col min="15" max="15" width="16.140625" style="24" bestFit="1" customWidth="1"/>
    <col min="16" max="16" width="16.140625" style="24" customWidth="1"/>
    <col min="17" max="17" width="14.5703125" style="24" bestFit="1" customWidth="1"/>
    <col min="18" max="18" width="21" style="24" customWidth="1"/>
    <col min="19" max="16384" width="11.42578125" style="24"/>
  </cols>
  <sheetData>
    <row r="2" spans="2:14" ht="30.75" x14ac:dyDescent="0.25">
      <c r="B2" s="23" t="s">
        <v>59</v>
      </c>
    </row>
    <row r="5" spans="2:14" ht="18.75" customHeight="1" x14ac:dyDescent="0.25">
      <c r="B5" s="24" t="s">
        <v>23</v>
      </c>
      <c r="C5" s="37" t="s">
        <v>37</v>
      </c>
      <c r="D5" s="37" t="s">
        <v>51</v>
      </c>
      <c r="E5" s="37" t="s">
        <v>52</v>
      </c>
      <c r="F5" s="37" t="s">
        <v>53</v>
      </c>
      <c r="G5" s="24" t="s">
        <v>20</v>
      </c>
      <c r="H5" s="26" t="s">
        <v>9</v>
      </c>
      <c r="I5" s="24" t="s">
        <v>10</v>
      </c>
      <c r="J5" s="37" t="s">
        <v>58</v>
      </c>
      <c r="K5" s="37" t="s">
        <v>54</v>
      </c>
      <c r="N5" s="24"/>
    </row>
    <row r="6" spans="2:14" ht="18.75" customHeight="1" x14ac:dyDescent="0.25">
      <c r="B6" s="24" t="s">
        <v>95</v>
      </c>
      <c r="C6" s="37" t="s">
        <v>131</v>
      </c>
      <c r="D6" s="37"/>
      <c r="E6" s="37" t="s">
        <v>55</v>
      </c>
      <c r="F6" s="37" t="s">
        <v>57</v>
      </c>
      <c r="G6" s="24" t="s">
        <v>56</v>
      </c>
      <c r="H6" s="24">
        <v>4</v>
      </c>
      <c r="J6" s="38">
        <v>46177</v>
      </c>
      <c r="K6" s="38">
        <v>46177</v>
      </c>
    </row>
    <row r="7" spans="2:14" ht="18.75" customHeight="1" x14ac:dyDescent="0.25">
      <c r="B7" s="24" t="s">
        <v>95</v>
      </c>
      <c r="C7" s="37" t="s">
        <v>132</v>
      </c>
      <c r="D7" s="37"/>
      <c r="E7" s="37" t="s">
        <v>55</v>
      </c>
      <c r="F7" s="37" t="s">
        <v>57</v>
      </c>
      <c r="G7" s="24" t="s">
        <v>56</v>
      </c>
      <c r="H7" s="24">
        <v>4</v>
      </c>
      <c r="J7" s="38">
        <v>46178</v>
      </c>
      <c r="K7" s="38">
        <v>46178</v>
      </c>
    </row>
    <row r="8" spans="2:14" ht="18.75" customHeight="1" x14ac:dyDescent="0.25">
      <c r="B8" s="24" t="s">
        <v>95</v>
      </c>
      <c r="C8" s="37" t="s">
        <v>133</v>
      </c>
      <c r="D8" s="37"/>
      <c r="E8" s="37" t="s">
        <v>55</v>
      </c>
      <c r="F8" s="37" t="s">
        <v>57</v>
      </c>
      <c r="G8" s="24" t="s">
        <v>56</v>
      </c>
      <c r="H8" s="24">
        <v>4</v>
      </c>
      <c r="J8" s="38">
        <v>46181</v>
      </c>
      <c r="K8" s="38">
        <v>46181</v>
      </c>
    </row>
    <row r="9" spans="2:14" ht="18.75" customHeight="1" x14ac:dyDescent="0.25">
      <c r="B9" s="24" t="s">
        <v>95</v>
      </c>
      <c r="C9" s="37" t="s">
        <v>134</v>
      </c>
      <c r="D9" s="37"/>
      <c r="E9" s="37" t="s">
        <v>55</v>
      </c>
      <c r="F9" s="37" t="s">
        <v>57</v>
      </c>
      <c r="G9" s="24" t="s">
        <v>56</v>
      </c>
      <c r="H9" s="24">
        <v>4</v>
      </c>
      <c r="J9" s="38">
        <v>46182</v>
      </c>
      <c r="K9" s="38">
        <v>46182</v>
      </c>
    </row>
    <row r="10" spans="2:14" ht="18.75" customHeight="1" x14ac:dyDescent="0.25">
      <c r="B10" s="24" t="s">
        <v>95</v>
      </c>
      <c r="C10" s="37" t="s">
        <v>135</v>
      </c>
      <c r="D10" s="37"/>
      <c r="E10" s="37" t="s">
        <v>55</v>
      </c>
      <c r="F10" s="37" t="s">
        <v>57</v>
      </c>
      <c r="G10" s="24" t="s">
        <v>56</v>
      </c>
      <c r="H10" s="24">
        <v>4</v>
      </c>
      <c r="J10" s="38">
        <v>46183</v>
      </c>
      <c r="K10" s="38">
        <v>46183</v>
      </c>
    </row>
    <row r="11" spans="2:14" ht="18.75" customHeight="1" x14ac:dyDescent="0.25">
      <c r="B11" s="24" t="s">
        <v>95</v>
      </c>
      <c r="C11" s="37" t="s">
        <v>136</v>
      </c>
      <c r="D11" s="37"/>
      <c r="E11" s="37" t="s">
        <v>55</v>
      </c>
      <c r="F11" s="37" t="s">
        <v>57</v>
      </c>
      <c r="G11" s="24" t="s">
        <v>56</v>
      </c>
      <c r="H11" s="24">
        <v>4</v>
      </c>
      <c r="J11" s="38">
        <v>46184</v>
      </c>
      <c r="K11" s="38">
        <v>46184</v>
      </c>
    </row>
    <row r="12" spans="2:14" ht="18.75" customHeight="1" x14ac:dyDescent="0.25">
      <c r="B12" s="24" t="s">
        <v>95</v>
      </c>
      <c r="C12" s="37" t="s">
        <v>137</v>
      </c>
      <c r="D12" s="37"/>
      <c r="E12" s="37" t="s">
        <v>55</v>
      </c>
      <c r="F12" s="37" t="s">
        <v>57</v>
      </c>
      <c r="G12" s="24" t="s">
        <v>56</v>
      </c>
      <c r="H12" s="24">
        <v>4</v>
      </c>
      <c r="J12" s="38">
        <v>46185</v>
      </c>
      <c r="K12" s="38">
        <v>46185</v>
      </c>
    </row>
    <row r="13" spans="2:14" ht="18.75" customHeight="1" x14ac:dyDescent="0.25">
      <c r="B13" s="24" t="s">
        <v>95</v>
      </c>
      <c r="C13" s="37" t="s">
        <v>138</v>
      </c>
      <c r="D13" s="37"/>
      <c r="E13" s="37" t="s">
        <v>55</v>
      </c>
      <c r="F13" s="37" t="s">
        <v>57</v>
      </c>
      <c r="G13" s="24" t="s">
        <v>56</v>
      </c>
      <c r="H13" s="24">
        <v>4</v>
      </c>
      <c r="J13" s="38">
        <v>46188</v>
      </c>
      <c r="K13" s="38">
        <v>46188</v>
      </c>
    </row>
    <row r="14" spans="2:14" ht="18.75" customHeight="1" x14ac:dyDescent="0.25">
      <c r="B14" s="24" t="s">
        <v>95</v>
      </c>
      <c r="C14" s="37" t="s">
        <v>139</v>
      </c>
      <c r="D14" s="37"/>
      <c r="E14" s="37" t="s">
        <v>55</v>
      </c>
      <c r="F14" s="37" t="s">
        <v>57</v>
      </c>
      <c r="G14" s="24" t="s">
        <v>56</v>
      </c>
      <c r="H14" s="24">
        <v>4</v>
      </c>
      <c r="J14" s="38">
        <v>46189</v>
      </c>
      <c r="K14" s="38">
        <v>46189</v>
      </c>
    </row>
    <row r="15" spans="2:14" ht="18.75" customHeight="1" x14ac:dyDescent="0.25">
      <c r="B15" s="24" t="s">
        <v>95</v>
      </c>
      <c r="C15" s="37" t="s">
        <v>140</v>
      </c>
      <c r="D15" s="37"/>
      <c r="E15" s="37" t="s">
        <v>55</v>
      </c>
      <c r="F15" s="37" t="s">
        <v>57</v>
      </c>
      <c r="G15" s="24" t="s">
        <v>56</v>
      </c>
      <c r="H15" s="24">
        <v>4</v>
      </c>
      <c r="J15" s="38">
        <v>46190</v>
      </c>
      <c r="K15" s="38">
        <v>46190</v>
      </c>
    </row>
    <row r="16" spans="2:14" ht="18.75" customHeight="1" x14ac:dyDescent="0.25">
      <c r="B16" s="24" t="s">
        <v>95</v>
      </c>
      <c r="C16" s="37" t="s">
        <v>141</v>
      </c>
      <c r="D16" s="37"/>
      <c r="E16" s="37" t="s">
        <v>55</v>
      </c>
      <c r="F16" s="37" t="s">
        <v>57</v>
      </c>
      <c r="G16" s="24" t="s">
        <v>56</v>
      </c>
      <c r="H16" s="24">
        <v>4</v>
      </c>
      <c r="J16" s="38">
        <v>46191</v>
      </c>
      <c r="K16" s="38">
        <v>46191</v>
      </c>
    </row>
    <row r="17" spans="2:11" ht="18.75" customHeight="1" x14ac:dyDescent="0.25">
      <c r="B17" s="24" t="s">
        <v>95</v>
      </c>
      <c r="C17" s="37" t="s">
        <v>142</v>
      </c>
      <c r="D17" s="37"/>
      <c r="E17" s="37" t="s">
        <v>55</v>
      </c>
      <c r="F17" s="37" t="s">
        <v>57</v>
      </c>
      <c r="G17" s="24" t="s">
        <v>56</v>
      </c>
      <c r="H17" s="24">
        <v>4</v>
      </c>
      <c r="J17" s="38">
        <v>46192</v>
      </c>
      <c r="K17" s="38">
        <v>46192</v>
      </c>
    </row>
    <row r="18" spans="2:11" ht="18.75" customHeight="1" x14ac:dyDescent="0.25">
      <c r="B18" s="24" t="s">
        <v>95</v>
      </c>
      <c r="C18" s="37" t="s">
        <v>143</v>
      </c>
      <c r="D18" s="37"/>
      <c r="E18" s="37" t="s">
        <v>55</v>
      </c>
      <c r="F18" s="37" t="s">
        <v>57</v>
      </c>
      <c r="G18" s="24" t="s">
        <v>56</v>
      </c>
      <c r="H18" s="24">
        <v>4</v>
      </c>
      <c r="J18" s="38">
        <v>46195</v>
      </c>
      <c r="K18" s="38">
        <v>46195</v>
      </c>
    </row>
    <row r="19" spans="2:11" ht="18.75" customHeight="1" x14ac:dyDescent="0.25">
      <c r="B19" s="24" t="s">
        <v>95</v>
      </c>
      <c r="C19" s="37" t="s">
        <v>144</v>
      </c>
      <c r="D19" s="37"/>
      <c r="E19" s="37" t="s">
        <v>55</v>
      </c>
      <c r="F19" s="37" t="s">
        <v>57</v>
      </c>
      <c r="G19" s="24" t="s">
        <v>56</v>
      </c>
      <c r="H19" s="24">
        <v>4</v>
      </c>
      <c r="J19" s="38">
        <v>46196</v>
      </c>
      <c r="K19" s="38">
        <v>46196</v>
      </c>
    </row>
    <row r="20" spans="2:11" ht="18.75" customHeight="1" x14ac:dyDescent="0.25">
      <c r="B20" s="24" t="s">
        <v>95</v>
      </c>
      <c r="C20" s="37" t="s">
        <v>145</v>
      </c>
      <c r="D20" s="37"/>
      <c r="E20" s="37" t="s">
        <v>55</v>
      </c>
      <c r="F20" s="37" t="s">
        <v>57</v>
      </c>
      <c r="G20" s="24" t="s">
        <v>56</v>
      </c>
      <c r="H20" s="24">
        <v>4</v>
      </c>
      <c r="J20" s="38">
        <v>46197</v>
      </c>
      <c r="K20" s="38">
        <v>46197</v>
      </c>
    </row>
    <row r="21" spans="2:11" ht="18.75" customHeight="1" x14ac:dyDescent="0.25">
      <c r="B21" s="24" t="s">
        <v>95</v>
      </c>
      <c r="C21" s="37" t="s">
        <v>146</v>
      </c>
      <c r="D21" s="37"/>
      <c r="E21" s="37" t="s">
        <v>55</v>
      </c>
      <c r="F21" s="37" t="s">
        <v>57</v>
      </c>
      <c r="G21" s="24" t="s">
        <v>56</v>
      </c>
      <c r="H21" s="24">
        <v>4</v>
      </c>
      <c r="J21" s="38">
        <v>46198</v>
      </c>
      <c r="K21" s="38">
        <v>46198</v>
      </c>
    </row>
    <row r="22" spans="2:11" ht="18.75" customHeight="1" x14ac:dyDescent="0.25">
      <c r="B22" s="24" t="s">
        <v>95</v>
      </c>
      <c r="C22" s="37" t="s">
        <v>147</v>
      </c>
      <c r="D22" s="37"/>
      <c r="E22" s="37" t="s">
        <v>55</v>
      </c>
      <c r="F22" s="37" t="s">
        <v>57</v>
      </c>
      <c r="G22" s="24" t="s">
        <v>56</v>
      </c>
      <c r="H22" s="24">
        <v>4</v>
      </c>
      <c r="J22" s="38">
        <v>46199</v>
      </c>
      <c r="K22" s="38">
        <v>46199</v>
      </c>
    </row>
    <row r="23" spans="2:11" ht="18.75" customHeight="1" x14ac:dyDescent="0.25">
      <c r="B23" s="24" t="s">
        <v>95</v>
      </c>
      <c r="C23" s="37" t="s">
        <v>148</v>
      </c>
      <c r="D23" s="37"/>
      <c r="E23" s="37" t="s">
        <v>55</v>
      </c>
      <c r="F23" s="37" t="s">
        <v>57</v>
      </c>
      <c r="G23" s="24" t="s">
        <v>56</v>
      </c>
      <c r="H23" s="24">
        <v>4</v>
      </c>
      <c r="J23" s="38">
        <v>46202</v>
      </c>
      <c r="K23" s="38">
        <v>46202</v>
      </c>
    </row>
    <row r="24" spans="2:11" ht="18.75" customHeight="1" x14ac:dyDescent="0.25">
      <c r="B24" s="24" t="s">
        <v>95</v>
      </c>
      <c r="C24" s="37" t="s">
        <v>149</v>
      </c>
      <c r="D24" s="37"/>
      <c r="E24" s="37" t="s">
        <v>55</v>
      </c>
      <c r="F24" s="37" t="s">
        <v>57</v>
      </c>
      <c r="G24" s="24" t="s">
        <v>56</v>
      </c>
      <c r="H24" s="24">
        <v>4</v>
      </c>
      <c r="J24" s="38">
        <v>46203</v>
      </c>
      <c r="K24" s="38">
        <v>46203</v>
      </c>
    </row>
    <row r="25" spans="2:11" ht="18.75" customHeight="1" x14ac:dyDescent="0.25">
      <c r="B25" s="24" t="s">
        <v>95</v>
      </c>
      <c r="C25" s="37" t="s">
        <v>150</v>
      </c>
      <c r="D25" s="37"/>
      <c r="E25" s="37" t="s">
        <v>55</v>
      </c>
      <c r="F25" s="37" t="s">
        <v>57</v>
      </c>
      <c r="G25" s="24" t="s">
        <v>56</v>
      </c>
      <c r="H25" s="24">
        <v>2</v>
      </c>
      <c r="J25" s="38">
        <v>46177</v>
      </c>
      <c r="K25" s="38">
        <v>46177</v>
      </c>
    </row>
    <row r="26" spans="2:11" ht="18.75" customHeight="1" x14ac:dyDescent="0.25">
      <c r="B26" s="24" t="s">
        <v>95</v>
      </c>
      <c r="C26" s="37" t="s">
        <v>151</v>
      </c>
      <c r="D26" s="37"/>
      <c r="E26" s="37" t="s">
        <v>55</v>
      </c>
      <c r="F26" s="37" t="s">
        <v>57</v>
      </c>
      <c r="G26" s="24" t="s">
        <v>56</v>
      </c>
      <c r="H26" s="24">
        <v>2</v>
      </c>
      <c r="J26" s="38">
        <v>46178</v>
      </c>
      <c r="K26" s="38">
        <v>46178</v>
      </c>
    </row>
    <row r="27" spans="2:11" ht="18.75" customHeight="1" x14ac:dyDescent="0.25">
      <c r="B27" s="24" t="s">
        <v>95</v>
      </c>
      <c r="C27" s="37" t="s">
        <v>152</v>
      </c>
      <c r="D27" s="37"/>
      <c r="E27" s="37" t="s">
        <v>55</v>
      </c>
      <c r="F27" s="37" t="s">
        <v>57</v>
      </c>
      <c r="G27" s="24" t="s">
        <v>56</v>
      </c>
      <c r="H27" s="24">
        <v>2</v>
      </c>
      <c r="J27" s="38">
        <v>46181</v>
      </c>
      <c r="K27" s="38">
        <v>46181</v>
      </c>
    </row>
    <row r="28" spans="2:11" ht="18.75" customHeight="1" x14ac:dyDescent="0.25">
      <c r="B28" s="24" t="s">
        <v>95</v>
      </c>
      <c r="C28" s="37" t="s">
        <v>153</v>
      </c>
      <c r="D28" s="37"/>
      <c r="E28" s="37" t="s">
        <v>55</v>
      </c>
      <c r="F28" s="37" t="s">
        <v>57</v>
      </c>
      <c r="G28" s="24" t="s">
        <v>56</v>
      </c>
      <c r="H28" s="24">
        <v>2</v>
      </c>
      <c r="J28" s="38">
        <v>46182</v>
      </c>
      <c r="K28" s="38">
        <v>46182</v>
      </c>
    </row>
    <row r="29" spans="2:11" ht="18.75" customHeight="1" x14ac:dyDescent="0.25">
      <c r="B29" s="24" t="s">
        <v>95</v>
      </c>
      <c r="C29" s="37" t="s">
        <v>154</v>
      </c>
      <c r="D29" s="37"/>
      <c r="E29" s="37" t="s">
        <v>55</v>
      </c>
      <c r="F29" s="37" t="s">
        <v>57</v>
      </c>
      <c r="G29" s="24" t="s">
        <v>56</v>
      </c>
      <c r="H29" s="24">
        <v>2</v>
      </c>
      <c r="J29" s="38">
        <v>46183</v>
      </c>
      <c r="K29" s="38">
        <v>46183</v>
      </c>
    </row>
    <row r="30" spans="2:11" ht="18.75" customHeight="1" x14ac:dyDescent="0.25">
      <c r="B30" s="24" t="s">
        <v>95</v>
      </c>
      <c r="C30" s="37" t="s">
        <v>155</v>
      </c>
      <c r="D30" s="37"/>
      <c r="E30" s="37" t="s">
        <v>55</v>
      </c>
      <c r="F30" s="37" t="s">
        <v>57</v>
      </c>
      <c r="G30" s="24" t="s">
        <v>56</v>
      </c>
      <c r="H30" s="24">
        <v>2</v>
      </c>
      <c r="J30" s="38">
        <v>46184</v>
      </c>
      <c r="K30" s="38">
        <v>46184</v>
      </c>
    </row>
    <row r="31" spans="2:11" ht="18.75" customHeight="1" x14ac:dyDescent="0.25">
      <c r="B31" s="24" t="s">
        <v>95</v>
      </c>
      <c r="C31" s="37" t="s">
        <v>156</v>
      </c>
      <c r="D31" s="37"/>
      <c r="E31" s="37" t="s">
        <v>55</v>
      </c>
      <c r="F31" s="37" t="s">
        <v>57</v>
      </c>
      <c r="G31" s="24" t="s">
        <v>56</v>
      </c>
      <c r="H31" s="24">
        <v>2</v>
      </c>
      <c r="J31" s="38">
        <v>46185</v>
      </c>
      <c r="K31" s="38">
        <v>46185</v>
      </c>
    </row>
    <row r="32" spans="2:11" ht="18.75" customHeight="1" x14ac:dyDescent="0.25">
      <c r="B32" s="24" t="s">
        <v>95</v>
      </c>
      <c r="C32" s="37" t="s">
        <v>157</v>
      </c>
      <c r="D32" s="37"/>
      <c r="E32" s="37" t="s">
        <v>55</v>
      </c>
      <c r="F32" s="37" t="s">
        <v>57</v>
      </c>
      <c r="G32" s="24" t="s">
        <v>56</v>
      </c>
      <c r="H32" s="24">
        <v>2</v>
      </c>
      <c r="J32" s="38">
        <v>46188</v>
      </c>
      <c r="K32" s="38">
        <v>46188</v>
      </c>
    </row>
    <row r="33" spans="2:11" ht="18.75" customHeight="1" x14ac:dyDescent="0.25">
      <c r="B33" s="24" t="s">
        <v>95</v>
      </c>
      <c r="C33" s="37" t="s">
        <v>158</v>
      </c>
      <c r="D33" s="37"/>
      <c r="E33" s="37" t="s">
        <v>55</v>
      </c>
      <c r="F33" s="37" t="s">
        <v>57</v>
      </c>
      <c r="G33" s="24" t="s">
        <v>56</v>
      </c>
      <c r="H33" s="24">
        <v>2</v>
      </c>
      <c r="J33" s="38">
        <v>46189</v>
      </c>
      <c r="K33" s="38">
        <v>46189</v>
      </c>
    </row>
    <row r="34" spans="2:11" ht="18.75" customHeight="1" x14ac:dyDescent="0.25">
      <c r="B34" s="24" t="s">
        <v>95</v>
      </c>
      <c r="C34" s="37" t="s">
        <v>159</v>
      </c>
      <c r="D34" s="37"/>
      <c r="E34" s="37" t="s">
        <v>55</v>
      </c>
      <c r="F34" s="37" t="s">
        <v>57</v>
      </c>
      <c r="G34" s="24" t="s">
        <v>56</v>
      </c>
      <c r="H34" s="24">
        <v>2</v>
      </c>
      <c r="J34" s="38">
        <v>46190</v>
      </c>
      <c r="K34" s="38">
        <v>46190</v>
      </c>
    </row>
    <row r="35" spans="2:11" ht="18.75" customHeight="1" x14ac:dyDescent="0.25">
      <c r="B35" s="24" t="s">
        <v>95</v>
      </c>
      <c r="C35" s="37" t="s">
        <v>160</v>
      </c>
      <c r="D35" s="37"/>
      <c r="E35" s="37" t="s">
        <v>55</v>
      </c>
      <c r="F35" s="37" t="s">
        <v>57</v>
      </c>
      <c r="G35" s="24" t="s">
        <v>56</v>
      </c>
      <c r="H35" s="24">
        <v>2</v>
      </c>
      <c r="J35" s="38">
        <v>46191</v>
      </c>
      <c r="K35" s="38">
        <v>46191</v>
      </c>
    </row>
    <row r="36" spans="2:11" ht="18.75" customHeight="1" x14ac:dyDescent="0.25">
      <c r="B36" s="24" t="s">
        <v>95</v>
      </c>
      <c r="C36" s="37" t="s">
        <v>161</v>
      </c>
      <c r="D36" s="37"/>
      <c r="E36" s="37" t="s">
        <v>55</v>
      </c>
      <c r="F36" s="37" t="s">
        <v>57</v>
      </c>
      <c r="G36" s="24" t="s">
        <v>56</v>
      </c>
      <c r="H36" s="24">
        <v>2</v>
      </c>
      <c r="J36" s="38">
        <v>46192</v>
      </c>
      <c r="K36" s="38">
        <v>46192</v>
      </c>
    </row>
    <row r="37" spans="2:11" ht="18.75" customHeight="1" x14ac:dyDescent="0.25">
      <c r="B37" s="24" t="s">
        <v>95</v>
      </c>
      <c r="C37" s="37" t="s">
        <v>162</v>
      </c>
      <c r="D37" s="37"/>
      <c r="E37" s="37" t="s">
        <v>55</v>
      </c>
      <c r="F37" s="37" t="s">
        <v>57</v>
      </c>
      <c r="G37" s="24" t="s">
        <v>56</v>
      </c>
      <c r="H37" s="24">
        <v>2</v>
      </c>
      <c r="J37" s="38">
        <v>46195</v>
      </c>
      <c r="K37" s="38">
        <v>46195</v>
      </c>
    </row>
    <row r="38" spans="2:11" ht="18.75" customHeight="1" x14ac:dyDescent="0.25">
      <c r="B38" s="24" t="s">
        <v>95</v>
      </c>
      <c r="C38" s="37" t="s">
        <v>163</v>
      </c>
      <c r="D38" s="37"/>
      <c r="E38" s="37" t="s">
        <v>55</v>
      </c>
      <c r="F38" s="37" t="s">
        <v>57</v>
      </c>
      <c r="G38" s="24" t="s">
        <v>56</v>
      </c>
      <c r="H38" s="24">
        <v>2</v>
      </c>
      <c r="J38" s="38">
        <v>46196</v>
      </c>
      <c r="K38" s="38">
        <v>46196</v>
      </c>
    </row>
    <row r="39" spans="2:11" ht="18.75" customHeight="1" x14ac:dyDescent="0.25">
      <c r="B39" s="24" t="s">
        <v>95</v>
      </c>
      <c r="C39" s="37" t="s">
        <v>164</v>
      </c>
      <c r="D39" s="37"/>
      <c r="E39" s="37" t="s">
        <v>55</v>
      </c>
      <c r="F39" s="37" t="s">
        <v>57</v>
      </c>
      <c r="G39" s="24" t="s">
        <v>56</v>
      </c>
      <c r="H39" s="24">
        <v>2</v>
      </c>
      <c r="J39" s="38">
        <v>46197</v>
      </c>
      <c r="K39" s="38">
        <v>46197</v>
      </c>
    </row>
    <row r="40" spans="2:11" ht="18.75" customHeight="1" x14ac:dyDescent="0.25">
      <c r="B40" s="24" t="s">
        <v>95</v>
      </c>
      <c r="C40" s="37" t="s">
        <v>165</v>
      </c>
      <c r="D40" s="37"/>
      <c r="E40" s="37" t="s">
        <v>55</v>
      </c>
      <c r="F40" s="37" t="s">
        <v>57</v>
      </c>
      <c r="G40" s="24" t="s">
        <v>56</v>
      </c>
      <c r="H40" s="24">
        <v>2</v>
      </c>
      <c r="J40" s="38">
        <v>46198</v>
      </c>
      <c r="K40" s="38">
        <v>46198</v>
      </c>
    </row>
    <row r="41" spans="2:11" ht="18.75" customHeight="1" x14ac:dyDescent="0.25">
      <c r="B41" s="24" t="s">
        <v>95</v>
      </c>
      <c r="C41" s="37" t="s">
        <v>166</v>
      </c>
      <c r="D41" s="37"/>
      <c r="E41" s="37" t="s">
        <v>55</v>
      </c>
      <c r="F41" s="37" t="s">
        <v>57</v>
      </c>
      <c r="G41" s="24" t="s">
        <v>56</v>
      </c>
      <c r="H41" s="24">
        <v>2</v>
      </c>
      <c r="J41" s="38">
        <v>46199</v>
      </c>
      <c r="K41" s="38">
        <v>46199</v>
      </c>
    </row>
    <row r="42" spans="2:11" ht="18.75" customHeight="1" x14ac:dyDescent="0.25">
      <c r="B42" s="24" t="s">
        <v>95</v>
      </c>
      <c r="C42" s="37" t="s">
        <v>167</v>
      </c>
      <c r="D42" s="37"/>
      <c r="E42" s="37" t="s">
        <v>55</v>
      </c>
      <c r="F42" s="37" t="s">
        <v>57</v>
      </c>
      <c r="G42" s="24" t="s">
        <v>56</v>
      </c>
      <c r="H42" s="24">
        <v>2</v>
      </c>
      <c r="J42" s="38">
        <v>46202</v>
      </c>
      <c r="K42" s="38">
        <v>46202</v>
      </c>
    </row>
    <row r="43" spans="2:11" ht="18.75" customHeight="1" x14ac:dyDescent="0.25">
      <c r="B43" s="24" t="s">
        <v>95</v>
      </c>
      <c r="C43" s="37" t="s">
        <v>168</v>
      </c>
      <c r="D43" s="37"/>
      <c r="E43" s="37" t="s">
        <v>55</v>
      </c>
      <c r="F43" s="37" t="s">
        <v>57</v>
      </c>
      <c r="G43" s="24" t="s">
        <v>56</v>
      </c>
      <c r="H43" s="24">
        <v>2</v>
      </c>
      <c r="J43" s="38">
        <v>46203</v>
      </c>
      <c r="K43" s="38">
        <v>46203</v>
      </c>
    </row>
    <row r="44" spans="2:11" ht="18.75" customHeight="1" x14ac:dyDescent="0.25">
      <c r="B44" s="24" t="s">
        <v>95</v>
      </c>
      <c r="C44" s="37" t="s">
        <v>169</v>
      </c>
      <c r="D44" s="37"/>
      <c r="E44" s="37" t="s">
        <v>55</v>
      </c>
      <c r="F44" s="37" t="s">
        <v>57</v>
      </c>
      <c r="G44" s="24" t="s">
        <v>56</v>
      </c>
      <c r="H44" s="24">
        <v>12</v>
      </c>
      <c r="J44" s="38">
        <v>46177</v>
      </c>
      <c r="K44" s="38">
        <v>46177</v>
      </c>
    </row>
    <row r="45" spans="2:11" ht="18.75" customHeight="1" x14ac:dyDescent="0.25">
      <c r="B45" s="24" t="s">
        <v>95</v>
      </c>
      <c r="C45" s="37" t="s">
        <v>170</v>
      </c>
      <c r="D45" s="37"/>
      <c r="E45" s="37" t="s">
        <v>55</v>
      </c>
      <c r="F45" s="37" t="s">
        <v>57</v>
      </c>
      <c r="G45" s="24" t="s">
        <v>56</v>
      </c>
      <c r="H45" s="24">
        <v>12</v>
      </c>
      <c r="J45" s="38">
        <v>46178</v>
      </c>
      <c r="K45" s="38">
        <v>46178</v>
      </c>
    </row>
    <row r="46" spans="2:11" ht="18.75" customHeight="1" x14ac:dyDescent="0.25">
      <c r="B46" s="24" t="s">
        <v>95</v>
      </c>
      <c r="C46" s="37" t="s">
        <v>171</v>
      </c>
      <c r="D46" s="37"/>
      <c r="E46" s="37" t="s">
        <v>55</v>
      </c>
      <c r="F46" s="37" t="s">
        <v>57</v>
      </c>
      <c r="G46" s="24" t="s">
        <v>56</v>
      </c>
      <c r="H46" s="24">
        <v>12</v>
      </c>
      <c r="J46" s="38">
        <v>46181</v>
      </c>
      <c r="K46" s="38">
        <v>46181</v>
      </c>
    </row>
    <row r="47" spans="2:11" ht="18.75" customHeight="1" x14ac:dyDescent="0.25">
      <c r="B47" s="24" t="s">
        <v>95</v>
      </c>
      <c r="C47" s="37" t="s">
        <v>172</v>
      </c>
      <c r="D47" s="37"/>
      <c r="E47" s="37" t="s">
        <v>55</v>
      </c>
      <c r="F47" s="37" t="s">
        <v>57</v>
      </c>
      <c r="G47" s="24" t="s">
        <v>56</v>
      </c>
      <c r="H47" s="24">
        <v>12</v>
      </c>
      <c r="J47" s="38">
        <v>46182</v>
      </c>
      <c r="K47" s="38">
        <v>46182</v>
      </c>
    </row>
    <row r="48" spans="2:11" ht="18.75" customHeight="1" x14ac:dyDescent="0.25">
      <c r="B48" s="24" t="s">
        <v>95</v>
      </c>
      <c r="C48" s="37" t="s">
        <v>173</v>
      </c>
      <c r="D48" s="37"/>
      <c r="E48" s="37" t="s">
        <v>55</v>
      </c>
      <c r="F48" s="37" t="s">
        <v>57</v>
      </c>
      <c r="G48" s="24" t="s">
        <v>56</v>
      </c>
      <c r="H48" s="24">
        <v>12</v>
      </c>
      <c r="J48" s="38">
        <v>46183</v>
      </c>
      <c r="K48" s="38">
        <v>46183</v>
      </c>
    </row>
    <row r="49" spans="2:11" ht="18.75" customHeight="1" x14ac:dyDescent="0.25">
      <c r="B49" s="24" t="s">
        <v>95</v>
      </c>
      <c r="C49" s="37" t="s">
        <v>174</v>
      </c>
      <c r="D49" s="37"/>
      <c r="E49" s="37" t="s">
        <v>55</v>
      </c>
      <c r="F49" s="37" t="s">
        <v>57</v>
      </c>
      <c r="G49" s="24" t="s">
        <v>56</v>
      </c>
      <c r="H49" s="24">
        <v>12</v>
      </c>
      <c r="J49" s="38">
        <v>46184</v>
      </c>
      <c r="K49" s="38">
        <v>46184</v>
      </c>
    </row>
    <row r="50" spans="2:11" ht="18.75" customHeight="1" x14ac:dyDescent="0.25">
      <c r="B50" s="24" t="s">
        <v>95</v>
      </c>
      <c r="C50" s="37" t="s">
        <v>175</v>
      </c>
      <c r="D50" s="37"/>
      <c r="E50" s="37" t="s">
        <v>55</v>
      </c>
      <c r="F50" s="37" t="s">
        <v>57</v>
      </c>
      <c r="G50" s="24" t="s">
        <v>56</v>
      </c>
      <c r="H50" s="24">
        <v>12</v>
      </c>
      <c r="J50" s="38">
        <v>46185</v>
      </c>
      <c r="K50" s="38">
        <v>46185</v>
      </c>
    </row>
    <row r="51" spans="2:11" ht="18.75" customHeight="1" x14ac:dyDescent="0.25">
      <c r="B51" s="24" t="s">
        <v>95</v>
      </c>
      <c r="C51" s="37" t="s">
        <v>176</v>
      </c>
      <c r="D51" s="37"/>
      <c r="E51" s="37" t="s">
        <v>55</v>
      </c>
      <c r="F51" s="37" t="s">
        <v>57</v>
      </c>
      <c r="G51" s="24" t="s">
        <v>56</v>
      </c>
      <c r="H51" s="24">
        <v>12</v>
      </c>
      <c r="J51" s="38">
        <v>46188</v>
      </c>
      <c r="K51" s="38">
        <v>46188</v>
      </c>
    </row>
    <row r="52" spans="2:11" ht="18.75" customHeight="1" x14ac:dyDescent="0.25">
      <c r="B52" s="24" t="s">
        <v>95</v>
      </c>
      <c r="C52" s="37" t="s">
        <v>177</v>
      </c>
      <c r="D52" s="37"/>
      <c r="E52" s="37" t="s">
        <v>55</v>
      </c>
      <c r="F52" s="37" t="s">
        <v>57</v>
      </c>
      <c r="G52" s="24" t="s">
        <v>56</v>
      </c>
      <c r="H52" s="24">
        <v>12</v>
      </c>
      <c r="J52" s="38">
        <v>46189</v>
      </c>
      <c r="K52" s="38">
        <v>46189</v>
      </c>
    </row>
    <row r="53" spans="2:11" ht="18.75" customHeight="1" x14ac:dyDescent="0.25">
      <c r="B53" s="24" t="s">
        <v>95</v>
      </c>
      <c r="C53" s="37" t="s">
        <v>178</v>
      </c>
      <c r="D53" s="37"/>
      <c r="E53" s="37" t="s">
        <v>55</v>
      </c>
      <c r="F53" s="37" t="s">
        <v>57</v>
      </c>
      <c r="G53" s="24" t="s">
        <v>56</v>
      </c>
      <c r="H53" s="24">
        <v>12</v>
      </c>
      <c r="J53" s="38">
        <v>46190</v>
      </c>
      <c r="K53" s="38">
        <v>46190</v>
      </c>
    </row>
    <row r="54" spans="2:11" ht="18.75" customHeight="1" x14ac:dyDescent="0.25">
      <c r="B54" s="24" t="s">
        <v>95</v>
      </c>
      <c r="C54" s="37" t="s">
        <v>179</v>
      </c>
      <c r="D54" s="37"/>
      <c r="E54" s="37" t="s">
        <v>55</v>
      </c>
      <c r="F54" s="37" t="s">
        <v>57</v>
      </c>
      <c r="G54" s="24" t="s">
        <v>56</v>
      </c>
      <c r="H54" s="24">
        <v>12</v>
      </c>
      <c r="J54" s="38">
        <v>46191</v>
      </c>
      <c r="K54" s="38">
        <v>46191</v>
      </c>
    </row>
    <row r="55" spans="2:11" ht="18.75" customHeight="1" x14ac:dyDescent="0.25">
      <c r="B55" s="24" t="s">
        <v>95</v>
      </c>
      <c r="C55" s="37" t="s">
        <v>180</v>
      </c>
      <c r="D55" s="37"/>
      <c r="E55" s="37" t="s">
        <v>55</v>
      </c>
      <c r="F55" s="37" t="s">
        <v>57</v>
      </c>
      <c r="G55" s="24" t="s">
        <v>56</v>
      </c>
      <c r="H55" s="24">
        <v>12</v>
      </c>
      <c r="J55" s="38">
        <v>46192</v>
      </c>
      <c r="K55" s="38">
        <v>46192</v>
      </c>
    </row>
    <row r="56" spans="2:11" ht="18.75" customHeight="1" x14ac:dyDescent="0.25">
      <c r="B56" s="24" t="s">
        <v>95</v>
      </c>
      <c r="C56" s="37" t="s">
        <v>181</v>
      </c>
      <c r="D56" s="37"/>
      <c r="E56" s="37" t="s">
        <v>55</v>
      </c>
      <c r="F56" s="37" t="s">
        <v>57</v>
      </c>
      <c r="G56" s="24" t="s">
        <v>56</v>
      </c>
      <c r="H56" s="24">
        <v>12</v>
      </c>
      <c r="J56" s="38">
        <v>46195</v>
      </c>
      <c r="K56" s="38">
        <v>46195</v>
      </c>
    </row>
    <row r="57" spans="2:11" ht="18.75" customHeight="1" x14ac:dyDescent="0.25">
      <c r="B57" s="24" t="s">
        <v>95</v>
      </c>
      <c r="C57" s="37" t="s">
        <v>182</v>
      </c>
      <c r="D57" s="37"/>
      <c r="E57" s="37" t="s">
        <v>55</v>
      </c>
      <c r="F57" s="37" t="s">
        <v>57</v>
      </c>
      <c r="G57" s="24" t="s">
        <v>56</v>
      </c>
      <c r="H57" s="24">
        <v>12</v>
      </c>
      <c r="J57" s="38">
        <v>46196</v>
      </c>
      <c r="K57" s="38">
        <v>46196</v>
      </c>
    </row>
    <row r="58" spans="2:11" ht="18.75" customHeight="1" x14ac:dyDescent="0.25">
      <c r="B58" s="24" t="s">
        <v>95</v>
      </c>
      <c r="C58" s="37" t="s">
        <v>183</v>
      </c>
      <c r="D58" s="37"/>
      <c r="E58" s="37" t="s">
        <v>55</v>
      </c>
      <c r="F58" s="37" t="s">
        <v>57</v>
      </c>
      <c r="G58" s="24" t="s">
        <v>56</v>
      </c>
      <c r="H58" s="24">
        <v>12</v>
      </c>
      <c r="J58" s="38">
        <v>46197</v>
      </c>
      <c r="K58" s="38">
        <v>46197</v>
      </c>
    </row>
    <row r="59" spans="2:11" ht="18.75" customHeight="1" x14ac:dyDescent="0.25">
      <c r="B59" s="24" t="s">
        <v>95</v>
      </c>
      <c r="C59" s="37" t="s">
        <v>184</v>
      </c>
      <c r="D59" s="37"/>
      <c r="E59" s="37" t="s">
        <v>55</v>
      </c>
      <c r="F59" s="37" t="s">
        <v>57</v>
      </c>
      <c r="G59" s="24" t="s">
        <v>56</v>
      </c>
      <c r="H59" s="24">
        <v>12</v>
      </c>
      <c r="J59" s="38">
        <v>46198</v>
      </c>
      <c r="K59" s="38">
        <v>46198</v>
      </c>
    </row>
    <row r="60" spans="2:11" ht="18.75" customHeight="1" x14ac:dyDescent="0.25">
      <c r="B60" s="24" t="s">
        <v>95</v>
      </c>
      <c r="C60" s="37" t="s">
        <v>185</v>
      </c>
      <c r="D60" s="37"/>
      <c r="E60" s="37" t="s">
        <v>55</v>
      </c>
      <c r="F60" s="37" t="s">
        <v>57</v>
      </c>
      <c r="G60" s="24" t="s">
        <v>56</v>
      </c>
      <c r="H60" s="24">
        <v>12</v>
      </c>
      <c r="J60" s="38">
        <v>46199</v>
      </c>
      <c r="K60" s="38">
        <v>46199</v>
      </c>
    </row>
    <row r="61" spans="2:11" ht="18.75" customHeight="1" x14ac:dyDescent="0.25">
      <c r="B61" s="24" t="s">
        <v>95</v>
      </c>
      <c r="C61" s="37" t="s">
        <v>186</v>
      </c>
      <c r="D61" s="37"/>
      <c r="E61" s="37" t="s">
        <v>55</v>
      </c>
      <c r="F61" s="37" t="s">
        <v>57</v>
      </c>
      <c r="G61" s="24" t="s">
        <v>56</v>
      </c>
      <c r="H61" s="24">
        <v>12</v>
      </c>
      <c r="J61" s="38">
        <v>46202</v>
      </c>
      <c r="K61" s="38">
        <v>46202</v>
      </c>
    </row>
    <row r="62" spans="2:11" ht="18.75" customHeight="1" x14ac:dyDescent="0.25">
      <c r="B62" s="24" t="s">
        <v>95</v>
      </c>
      <c r="C62" s="37" t="s">
        <v>187</v>
      </c>
      <c r="D62" s="37"/>
      <c r="E62" s="37" t="s">
        <v>55</v>
      </c>
      <c r="F62" s="37" t="s">
        <v>57</v>
      </c>
      <c r="G62" s="24" t="s">
        <v>56</v>
      </c>
      <c r="H62" s="24">
        <v>12</v>
      </c>
      <c r="J62" s="38">
        <v>46203</v>
      </c>
      <c r="K62" s="38">
        <v>46203</v>
      </c>
    </row>
    <row r="63" spans="2:11" ht="18.75" customHeight="1" x14ac:dyDescent="0.25">
      <c r="B63" s="24" t="s">
        <v>95</v>
      </c>
      <c r="C63" s="37" t="s">
        <v>188</v>
      </c>
      <c r="D63" s="37"/>
      <c r="E63" s="37" t="s">
        <v>55</v>
      </c>
      <c r="F63" s="37" t="s">
        <v>57</v>
      </c>
      <c r="G63" s="24" t="s">
        <v>56</v>
      </c>
      <c r="H63" s="24">
        <v>12</v>
      </c>
      <c r="J63" s="38">
        <v>46177</v>
      </c>
      <c r="K63" s="38">
        <v>46177</v>
      </c>
    </row>
    <row r="64" spans="2:11" ht="18.75" customHeight="1" x14ac:dyDescent="0.25">
      <c r="B64" s="24" t="s">
        <v>95</v>
      </c>
      <c r="C64" s="37" t="s">
        <v>189</v>
      </c>
      <c r="D64" s="37"/>
      <c r="E64" s="37" t="s">
        <v>55</v>
      </c>
      <c r="F64" s="37" t="s">
        <v>57</v>
      </c>
      <c r="G64" s="24" t="s">
        <v>56</v>
      </c>
      <c r="H64" s="24">
        <v>12</v>
      </c>
      <c r="J64" s="38">
        <v>46178</v>
      </c>
      <c r="K64" s="38">
        <v>46178</v>
      </c>
    </row>
    <row r="65" spans="2:11" ht="18.75" customHeight="1" x14ac:dyDescent="0.25">
      <c r="B65" s="24" t="s">
        <v>95</v>
      </c>
      <c r="C65" s="37" t="s">
        <v>190</v>
      </c>
      <c r="D65" s="37"/>
      <c r="E65" s="37" t="s">
        <v>55</v>
      </c>
      <c r="F65" s="37" t="s">
        <v>57</v>
      </c>
      <c r="G65" s="24" t="s">
        <v>56</v>
      </c>
      <c r="H65" s="24">
        <v>12</v>
      </c>
      <c r="J65" s="38">
        <v>46181</v>
      </c>
      <c r="K65" s="38">
        <v>46181</v>
      </c>
    </row>
    <row r="66" spans="2:11" ht="18.75" customHeight="1" x14ac:dyDescent="0.25">
      <c r="B66" s="24" t="s">
        <v>95</v>
      </c>
      <c r="C66" s="37" t="s">
        <v>191</v>
      </c>
      <c r="D66" s="37"/>
      <c r="E66" s="37" t="s">
        <v>55</v>
      </c>
      <c r="F66" s="37" t="s">
        <v>57</v>
      </c>
      <c r="G66" s="24" t="s">
        <v>56</v>
      </c>
      <c r="H66" s="24">
        <v>12</v>
      </c>
      <c r="J66" s="38">
        <v>46182</v>
      </c>
      <c r="K66" s="38">
        <v>46182</v>
      </c>
    </row>
    <row r="67" spans="2:11" ht="18.75" customHeight="1" x14ac:dyDescent="0.25">
      <c r="B67" s="24" t="s">
        <v>95</v>
      </c>
      <c r="C67" s="37" t="s">
        <v>192</v>
      </c>
      <c r="D67" s="37"/>
      <c r="E67" s="37" t="s">
        <v>55</v>
      </c>
      <c r="F67" s="37" t="s">
        <v>57</v>
      </c>
      <c r="G67" s="24" t="s">
        <v>56</v>
      </c>
      <c r="H67" s="24">
        <v>12</v>
      </c>
      <c r="J67" s="38">
        <v>46183</v>
      </c>
      <c r="K67" s="38">
        <v>46183</v>
      </c>
    </row>
    <row r="68" spans="2:11" ht="18.75" customHeight="1" x14ac:dyDescent="0.25">
      <c r="B68" s="24" t="s">
        <v>95</v>
      </c>
      <c r="C68" s="37" t="s">
        <v>193</v>
      </c>
      <c r="D68" s="37"/>
      <c r="E68" s="37" t="s">
        <v>55</v>
      </c>
      <c r="F68" s="37" t="s">
        <v>57</v>
      </c>
      <c r="G68" s="24" t="s">
        <v>56</v>
      </c>
      <c r="H68" s="24">
        <v>12</v>
      </c>
      <c r="J68" s="38">
        <v>46184</v>
      </c>
      <c r="K68" s="38">
        <v>46184</v>
      </c>
    </row>
    <row r="69" spans="2:11" ht="18.75" customHeight="1" x14ac:dyDescent="0.25">
      <c r="B69" s="24" t="s">
        <v>95</v>
      </c>
      <c r="C69" s="37" t="s">
        <v>194</v>
      </c>
      <c r="D69" s="37"/>
      <c r="E69" s="37" t="s">
        <v>55</v>
      </c>
      <c r="F69" s="37" t="s">
        <v>57</v>
      </c>
      <c r="G69" s="24" t="s">
        <v>56</v>
      </c>
      <c r="H69" s="24">
        <v>12</v>
      </c>
      <c r="J69" s="38">
        <v>46185</v>
      </c>
      <c r="K69" s="38">
        <v>46185</v>
      </c>
    </row>
    <row r="70" spans="2:11" ht="18.75" customHeight="1" x14ac:dyDescent="0.25">
      <c r="B70" s="24" t="s">
        <v>95</v>
      </c>
      <c r="C70" s="37" t="s">
        <v>195</v>
      </c>
      <c r="D70" s="37"/>
      <c r="E70" s="37" t="s">
        <v>55</v>
      </c>
      <c r="F70" s="37" t="s">
        <v>57</v>
      </c>
      <c r="G70" s="24" t="s">
        <v>56</v>
      </c>
      <c r="H70" s="24">
        <v>12</v>
      </c>
      <c r="J70" s="38">
        <v>46188</v>
      </c>
      <c r="K70" s="38">
        <v>46188</v>
      </c>
    </row>
    <row r="71" spans="2:11" ht="18.75" customHeight="1" x14ac:dyDescent="0.25">
      <c r="B71" s="24" t="s">
        <v>95</v>
      </c>
      <c r="C71" s="37" t="s">
        <v>196</v>
      </c>
      <c r="D71" s="37"/>
      <c r="E71" s="37" t="s">
        <v>55</v>
      </c>
      <c r="F71" s="37" t="s">
        <v>57</v>
      </c>
      <c r="G71" s="24" t="s">
        <v>56</v>
      </c>
      <c r="H71" s="24">
        <v>12</v>
      </c>
      <c r="J71" s="38">
        <v>46189</v>
      </c>
      <c r="K71" s="38">
        <v>46189</v>
      </c>
    </row>
    <row r="72" spans="2:11" ht="18.75" customHeight="1" x14ac:dyDescent="0.25">
      <c r="B72" s="24" t="s">
        <v>95</v>
      </c>
      <c r="C72" s="37" t="s">
        <v>197</v>
      </c>
      <c r="D72" s="37"/>
      <c r="E72" s="37" t="s">
        <v>55</v>
      </c>
      <c r="F72" s="37" t="s">
        <v>57</v>
      </c>
      <c r="G72" s="24" t="s">
        <v>56</v>
      </c>
      <c r="H72" s="24">
        <v>12</v>
      </c>
      <c r="J72" s="38">
        <v>46190</v>
      </c>
      <c r="K72" s="38">
        <v>46190</v>
      </c>
    </row>
    <row r="73" spans="2:11" ht="18.75" customHeight="1" x14ac:dyDescent="0.25">
      <c r="B73" s="24" t="s">
        <v>95</v>
      </c>
      <c r="C73" s="37" t="s">
        <v>198</v>
      </c>
      <c r="D73" s="37"/>
      <c r="E73" s="37" t="s">
        <v>55</v>
      </c>
      <c r="F73" s="37" t="s">
        <v>57</v>
      </c>
      <c r="G73" s="24" t="s">
        <v>56</v>
      </c>
      <c r="H73" s="24">
        <v>12</v>
      </c>
      <c r="J73" s="38">
        <v>46191</v>
      </c>
      <c r="K73" s="38">
        <v>46191</v>
      </c>
    </row>
    <row r="74" spans="2:11" ht="18.75" customHeight="1" x14ac:dyDescent="0.25">
      <c r="B74" s="24" t="s">
        <v>95</v>
      </c>
      <c r="C74" s="37" t="s">
        <v>199</v>
      </c>
      <c r="D74" s="37"/>
      <c r="E74" s="37" t="s">
        <v>55</v>
      </c>
      <c r="F74" s="37" t="s">
        <v>57</v>
      </c>
      <c r="G74" s="24" t="s">
        <v>56</v>
      </c>
      <c r="H74" s="24">
        <v>12</v>
      </c>
      <c r="J74" s="38">
        <v>46192</v>
      </c>
      <c r="K74" s="38">
        <v>46192</v>
      </c>
    </row>
    <row r="75" spans="2:11" ht="18.75" customHeight="1" x14ac:dyDescent="0.25">
      <c r="B75" s="24" t="s">
        <v>95</v>
      </c>
      <c r="C75" s="37" t="s">
        <v>200</v>
      </c>
      <c r="D75" s="37"/>
      <c r="E75" s="37" t="s">
        <v>55</v>
      </c>
      <c r="F75" s="37" t="s">
        <v>57</v>
      </c>
      <c r="G75" s="24" t="s">
        <v>56</v>
      </c>
      <c r="H75" s="24">
        <v>12</v>
      </c>
      <c r="J75" s="38">
        <v>46195</v>
      </c>
      <c r="K75" s="38">
        <v>46195</v>
      </c>
    </row>
    <row r="76" spans="2:11" ht="18.75" customHeight="1" x14ac:dyDescent="0.25">
      <c r="B76" s="24" t="s">
        <v>95</v>
      </c>
      <c r="C76" s="37" t="s">
        <v>201</v>
      </c>
      <c r="D76" s="37"/>
      <c r="E76" s="37" t="s">
        <v>55</v>
      </c>
      <c r="F76" s="37" t="s">
        <v>57</v>
      </c>
      <c r="G76" s="24" t="s">
        <v>56</v>
      </c>
      <c r="H76" s="24">
        <v>12</v>
      </c>
      <c r="J76" s="38">
        <v>46196</v>
      </c>
      <c r="K76" s="38">
        <v>46196</v>
      </c>
    </row>
    <row r="77" spans="2:11" ht="18.75" customHeight="1" x14ac:dyDescent="0.25">
      <c r="B77" s="24" t="s">
        <v>95</v>
      </c>
      <c r="C77" s="37" t="s">
        <v>202</v>
      </c>
      <c r="D77" s="37"/>
      <c r="E77" s="37" t="s">
        <v>55</v>
      </c>
      <c r="F77" s="37" t="s">
        <v>57</v>
      </c>
      <c r="G77" s="24" t="s">
        <v>56</v>
      </c>
      <c r="H77" s="24">
        <v>12</v>
      </c>
      <c r="J77" s="38">
        <v>46197</v>
      </c>
      <c r="K77" s="38">
        <v>46197</v>
      </c>
    </row>
    <row r="78" spans="2:11" ht="18.75" customHeight="1" x14ac:dyDescent="0.25">
      <c r="B78" s="24" t="s">
        <v>95</v>
      </c>
      <c r="C78" s="37" t="s">
        <v>203</v>
      </c>
      <c r="D78" s="37"/>
      <c r="E78" s="37" t="s">
        <v>55</v>
      </c>
      <c r="F78" s="37" t="s">
        <v>57</v>
      </c>
      <c r="G78" s="24" t="s">
        <v>56</v>
      </c>
      <c r="H78" s="24">
        <v>12</v>
      </c>
      <c r="J78" s="38">
        <v>46198</v>
      </c>
      <c r="K78" s="38">
        <v>46198</v>
      </c>
    </row>
    <row r="79" spans="2:11" ht="18.75" customHeight="1" x14ac:dyDescent="0.25">
      <c r="B79" s="24" t="s">
        <v>95</v>
      </c>
      <c r="C79" s="37" t="s">
        <v>204</v>
      </c>
      <c r="D79" s="37"/>
      <c r="E79" s="37" t="s">
        <v>55</v>
      </c>
      <c r="F79" s="37" t="s">
        <v>57</v>
      </c>
      <c r="G79" s="24" t="s">
        <v>56</v>
      </c>
      <c r="H79" s="24">
        <v>12</v>
      </c>
      <c r="J79" s="38">
        <v>46199</v>
      </c>
      <c r="K79" s="38">
        <v>46199</v>
      </c>
    </row>
    <row r="80" spans="2:11" ht="18.75" customHeight="1" x14ac:dyDescent="0.25">
      <c r="B80" s="24" t="s">
        <v>95</v>
      </c>
      <c r="C80" s="37" t="s">
        <v>205</v>
      </c>
      <c r="D80" s="37"/>
      <c r="E80" s="37" t="s">
        <v>55</v>
      </c>
      <c r="F80" s="37" t="s">
        <v>57</v>
      </c>
      <c r="G80" s="24" t="s">
        <v>56</v>
      </c>
      <c r="H80" s="24">
        <v>12</v>
      </c>
      <c r="J80" s="38">
        <v>46202</v>
      </c>
      <c r="K80" s="38">
        <v>46202</v>
      </c>
    </row>
    <row r="81" spans="2:11" ht="18.75" customHeight="1" x14ac:dyDescent="0.25">
      <c r="B81" s="24" t="s">
        <v>95</v>
      </c>
      <c r="C81" s="37" t="s">
        <v>206</v>
      </c>
      <c r="D81" s="37"/>
      <c r="E81" s="37" t="s">
        <v>55</v>
      </c>
      <c r="F81" s="37" t="s">
        <v>57</v>
      </c>
      <c r="G81" s="24" t="s">
        <v>56</v>
      </c>
      <c r="H81" s="24">
        <v>12</v>
      </c>
      <c r="J81" s="38">
        <v>46203</v>
      </c>
      <c r="K81" s="38">
        <v>46203</v>
      </c>
    </row>
    <row r="82" spans="2:11" ht="18.75" customHeight="1" x14ac:dyDescent="0.25">
      <c r="B82" s="24" t="s">
        <v>95</v>
      </c>
      <c r="C82" s="37" t="s">
        <v>207</v>
      </c>
      <c r="D82" s="37"/>
      <c r="E82" s="37" t="s">
        <v>55</v>
      </c>
      <c r="F82" s="37" t="s">
        <v>57</v>
      </c>
      <c r="G82" s="24" t="s">
        <v>56</v>
      </c>
      <c r="H82" s="24">
        <v>2</v>
      </c>
      <c r="J82" s="38">
        <v>46177</v>
      </c>
      <c r="K82" s="38">
        <v>46177</v>
      </c>
    </row>
    <row r="83" spans="2:11" ht="18.75" customHeight="1" x14ac:dyDescent="0.25">
      <c r="B83" s="24" t="s">
        <v>95</v>
      </c>
      <c r="C83" s="37" t="s">
        <v>208</v>
      </c>
      <c r="D83" s="37"/>
      <c r="E83" s="37" t="s">
        <v>55</v>
      </c>
      <c r="F83" s="37" t="s">
        <v>57</v>
      </c>
      <c r="G83" s="24" t="s">
        <v>56</v>
      </c>
      <c r="H83" s="24">
        <v>2</v>
      </c>
      <c r="J83" s="38">
        <v>46178</v>
      </c>
      <c r="K83" s="38">
        <v>46178</v>
      </c>
    </row>
    <row r="84" spans="2:11" ht="18.75" customHeight="1" x14ac:dyDescent="0.25">
      <c r="B84" s="24" t="s">
        <v>95</v>
      </c>
      <c r="C84" s="37" t="s">
        <v>209</v>
      </c>
      <c r="D84" s="37"/>
      <c r="E84" s="37" t="s">
        <v>55</v>
      </c>
      <c r="F84" s="37" t="s">
        <v>57</v>
      </c>
      <c r="G84" s="24" t="s">
        <v>56</v>
      </c>
      <c r="H84" s="24">
        <v>2</v>
      </c>
      <c r="J84" s="38">
        <v>46181</v>
      </c>
      <c r="K84" s="38">
        <v>46181</v>
      </c>
    </row>
    <row r="85" spans="2:11" ht="18.75" customHeight="1" x14ac:dyDescent="0.25">
      <c r="B85" s="24" t="s">
        <v>95</v>
      </c>
      <c r="C85" s="37" t="s">
        <v>210</v>
      </c>
      <c r="D85" s="37"/>
      <c r="E85" s="37" t="s">
        <v>55</v>
      </c>
      <c r="F85" s="37" t="s">
        <v>57</v>
      </c>
      <c r="G85" s="24" t="s">
        <v>56</v>
      </c>
      <c r="H85" s="24">
        <v>2</v>
      </c>
      <c r="J85" s="38">
        <v>46182</v>
      </c>
      <c r="K85" s="38">
        <v>46182</v>
      </c>
    </row>
    <row r="86" spans="2:11" ht="18.75" customHeight="1" x14ac:dyDescent="0.25">
      <c r="B86" s="24" t="s">
        <v>95</v>
      </c>
      <c r="C86" s="37" t="s">
        <v>211</v>
      </c>
      <c r="D86" s="37"/>
      <c r="E86" s="37" t="s">
        <v>55</v>
      </c>
      <c r="F86" s="37" t="s">
        <v>57</v>
      </c>
      <c r="G86" s="24" t="s">
        <v>56</v>
      </c>
      <c r="H86" s="24">
        <v>2</v>
      </c>
      <c r="J86" s="38">
        <v>46183</v>
      </c>
      <c r="K86" s="38">
        <v>46183</v>
      </c>
    </row>
    <row r="87" spans="2:11" ht="18.75" customHeight="1" x14ac:dyDescent="0.25">
      <c r="B87" s="24" t="s">
        <v>95</v>
      </c>
      <c r="C87" s="37" t="s">
        <v>212</v>
      </c>
      <c r="D87" s="37"/>
      <c r="E87" s="37" t="s">
        <v>55</v>
      </c>
      <c r="F87" s="37" t="s">
        <v>57</v>
      </c>
      <c r="G87" s="24" t="s">
        <v>56</v>
      </c>
      <c r="H87" s="24">
        <v>2</v>
      </c>
      <c r="J87" s="38">
        <v>46184</v>
      </c>
      <c r="K87" s="38">
        <v>46184</v>
      </c>
    </row>
    <row r="88" spans="2:11" ht="18.75" customHeight="1" x14ac:dyDescent="0.25">
      <c r="B88" s="24" t="s">
        <v>95</v>
      </c>
      <c r="C88" s="37" t="s">
        <v>213</v>
      </c>
      <c r="D88" s="37"/>
      <c r="E88" s="37" t="s">
        <v>55</v>
      </c>
      <c r="F88" s="37" t="s">
        <v>57</v>
      </c>
      <c r="G88" s="24" t="s">
        <v>56</v>
      </c>
      <c r="H88" s="24">
        <v>2</v>
      </c>
      <c r="J88" s="38">
        <v>46185</v>
      </c>
      <c r="K88" s="38">
        <v>46185</v>
      </c>
    </row>
    <row r="89" spans="2:11" ht="18.75" customHeight="1" x14ac:dyDescent="0.25">
      <c r="B89" s="24" t="s">
        <v>95</v>
      </c>
      <c r="C89" s="37" t="s">
        <v>214</v>
      </c>
      <c r="D89" s="37"/>
      <c r="E89" s="37" t="s">
        <v>55</v>
      </c>
      <c r="F89" s="37" t="s">
        <v>57</v>
      </c>
      <c r="G89" s="24" t="s">
        <v>56</v>
      </c>
      <c r="H89" s="24">
        <v>2</v>
      </c>
      <c r="J89" s="38">
        <v>46188</v>
      </c>
      <c r="K89" s="38">
        <v>46188</v>
      </c>
    </row>
    <row r="90" spans="2:11" ht="18.75" customHeight="1" x14ac:dyDescent="0.25">
      <c r="B90" s="24" t="s">
        <v>95</v>
      </c>
      <c r="C90" s="37" t="s">
        <v>215</v>
      </c>
      <c r="D90" s="37"/>
      <c r="E90" s="37" t="s">
        <v>55</v>
      </c>
      <c r="F90" s="37" t="s">
        <v>57</v>
      </c>
      <c r="G90" s="24" t="s">
        <v>56</v>
      </c>
      <c r="H90" s="24">
        <v>2</v>
      </c>
      <c r="J90" s="38">
        <v>46189</v>
      </c>
      <c r="K90" s="38">
        <v>46189</v>
      </c>
    </row>
    <row r="91" spans="2:11" ht="18.75" customHeight="1" x14ac:dyDescent="0.25">
      <c r="B91" s="24" t="s">
        <v>95</v>
      </c>
      <c r="C91" s="37" t="s">
        <v>216</v>
      </c>
      <c r="D91" s="37"/>
      <c r="E91" s="37" t="s">
        <v>55</v>
      </c>
      <c r="F91" s="37" t="s">
        <v>57</v>
      </c>
      <c r="G91" s="24" t="s">
        <v>56</v>
      </c>
      <c r="H91" s="24">
        <v>2</v>
      </c>
      <c r="J91" s="38">
        <v>46190</v>
      </c>
      <c r="K91" s="38">
        <v>46190</v>
      </c>
    </row>
    <row r="92" spans="2:11" ht="18.75" customHeight="1" x14ac:dyDescent="0.25">
      <c r="B92" s="24" t="s">
        <v>95</v>
      </c>
      <c r="C92" s="37" t="s">
        <v>217</v>
      </c>
      <c r="D92" s="37"/>
      <c r="E92" s="37" t="s">
        <v>55</v>
      </c>
      <c r="F92" s="37" t="s">
        <v>57</v>
      </c>
      <c r="G92" s="24" t="s">
        <v>56</v>
      </c>
      <c r="H92" s="24">
        <v>2</v>
      </c>
      <c r="J92" s="38">
        <v>46191</v>
      </c>
      <c r="K92" s="38">
        <v>46191</v>
      </c>
    </row>
    <row r="93" spans="2:11" ht="18.75" customHeight="1" x14ac:dyDescent="0.25">
      <c r="B93" s="24" t="s">
        <v>95</v>
      </c>
      <c r="C93" s="37" t="s">
        <v>218</v>
      </c>
      <c r="D93" s="37"/>
      <c r="E93" s="37" t="s">
        <v>55</v>
      </c>
      <c r="F93" s="37" t="s">
        <v>57</v>
      </c>
      <c r="G93" s="24" t="s">
        <v>56</v>
      </c>
      <c r="H93" s="24">
        <v>2</v>
      </c>
      <c r="J93" s="38">
        <v>46192</v>
      </c>
      <c r="K93" s="38">
        <v>46192</v>
      </c>
    </row>
    <row r="94" spans="2:11" ht="18.75" customHeight="1" x14ac:dyDescent="0.25">
      <c r="B94" s="24" t="s">
        <v>95</v>
      </c>
      <c r="C94" s="37" t="s">
        <v>219</v>
      </c>
      <c r="D94" s="37"/>
      <c r="E94" s="37" t="s">
        <v>55</v>
      </c>
      <c r="F94" s="37" t="s">
        <v>57</v>
      </c>
      <c r="G94" s="24" t="s">
        <v>56</v>
      </c>
      <c r="H94" s="24">
        <v>2</v>
      </c>
      <c r="J94" s="38">
        <v>46195</v>
      </c>
      <c r="K94" s="38">
        <v>46195</v>
      </c>
    </row>
    <row r="95" spans="2:11" ht="18.75" customHeight="1" x14ac:dyDescent="0.25">
      <c r="B95" s="24" t="s">
        <v>95</v>
      </c>
      <c r="C95" s="37" t="s">
        <v>220</v>
      </c>
      <c r="D95" s="37"/>
      <c r="E95" s="37" t="s">
        <v>55</v>
      </c>
      <c r="F95" s="37" t="s">
        <v>57</v>
      </c>
      <c r="G95" s="24" t="s">
        <v>56</v>
      </c>
      <c r="H95" s="24">
        <v>2</v>
      </c>
      <c r="J95" s="38">
        <v>46196</v>
      </c>
      <c r="K95" s="38">
        <v>46196</v>
      </c>
    </row>
    <row r="96" spans="2:11" ht="18.75" customHeight="1" x14ac:dyDescent="0.25">
      <c r="B96" s="24" t="s">
        <v>95</v>
      </c>
      <c r="C96" s="37" t="s">
        <v>221</v>
      </c>
      <c r="D96" s="37"/>
      <c r="E96" s="37" t="s">
        <v>55</v>
      </c>
      <c r="F96" s="37" t="s">
        <v>57</v>
      </c>
      <c r="G96" s="24" t="s">
        <v>56</v>
      </c>
      <c r="H96" s="24">
        <v>2</v>
      </c>
      <c r="J96" s="38">
        <v>46197</v>
      </c>
      <c r="K96" s="38">
        <v>46197</v>
      </c>
    </row>
    <row r="97" spans="2:11" ht="18.75" customHeight="1" x14ac:dyDescent="0.25">
      <c r="B97" s="24" t="s">
        <v>95</v>
      </c>
      <c r="C97" s="37" t="s">
        <v>222</v>
      </c>
      <c r="D97" s="37"/>
      <c r="E97" s="37" t="s">
        <v>55</v>
      </c>
      <c r="F97" s="37" t="s">
        <v>57</v>
      </c>
      <c r="G97" s="24" t="s">
        <v>56</v>
      </c>
      <c r="H97" s="24">
        <v>2</v>
      </c>
      <c r="J97" s="38">
        <v>46198</v>
      </c>
      <c r="K97" s="38">
        <v>46198</v>
      </c>
    </row>
    <row r="98" spans="2:11" ht="18.75" customHeight="1" x14ac:dyDescent="0.25">
      <c r="B98" s="24" t="s">
        <v>95</v>
      </c>
      <c r="C98" s="37" t="s">
        <v>223</v>
      </c>
      <c r="D98" s="37"/>
      <c r="E98" s="37" t="s">
        <v>55</v>
      </c>
      <c r="F98" s="37" t="s">
        <v>57</v>
      </c>
      <c r="G98" s="24" t="s">
        <v>56</v>
      </c>
      <c r="H98" s="24">
        <v>2</v>
      </c>
      <c r="J98" s="38">
        <v>46199</v>
      </c>
      <c r="K98" s="38">
        <v>46199</v>
      </c>
    </row>
    <row r="99" spans="2:11" ht="18.75" customHeight="1" x14ac:dyDescent="0.25">
      <c r="B99" s="24" t="s">
        <v>95</v>
      </c>
      <c r="C99" s="37" t="s">
        <v>224</v>
      </c>
      <c r="D99" s="37"/>
      <c r="E99" s="37" t="s">
        <v>55</v>
      </c>
      <c r="F99" s="37" t="s">
        <v>57</v>
      </c>
      <c r="G99" s="24" t="s">
        <v>56</v>
      </c>
      <c r="H99" s="24">
        <v>2</v>
      </c>
      <c r="J99" s="38">
        <v>46202</v>
      </c>
      <c r="K99" s="38">
        <v>46202</v>
      </c>
    </row>
    <row r="100" spans="2:11" ht="18.75" customHeight="1" x14ac:dyDescent="0.25">
      <c r="B100" s="24" t="s">
        <v>95</v>
      </c>
      <c r="C100" s="37" t="s">
        <v>225</v>
      </c>
      <c r="D100" s="37"/>
      <c r="E100" s="37" t="s">
        <v>55</v>
      </c>
      <c r="F100" s="37" t="s">
        <v>57</v>
      </c>
      <c r="G100" s="24" t="s">
        <v>56</v>
      </c>
      <c r="H100" s="24">
        <v>2</v>
      </c>
      <c r="J100" s="38">
        <v>46203</v>
      </c>
      <c r="K100" s="38">
        <v>46203</v>
      </c>
    </row>
    <row r="101" spans="2:11" ht="18.75" customHeight="1" x14ac:dyDescent="0.25">
      <c r="B101" s="24" t="s">
        <v>95</v>
      </c>
      <c r="C101" s="37" t="s">
        <v>226</v>
      </c>
      <c r="D101" s="37"/>
      <c r="E101" s="37" t="s">
        <v>55</v>
      </c>
      <c r="F101" s="37" t="s">
        <v>57</v>
      </c>
      <c r="G101" s="24" t="s">
        <v>56</v>
      </c>
      <c r="H101" s="24">
        <v>2</v>
      </c>
      <c r="J101" s="38">
        <v>46177</v>
      </c>
      <c r="K101" s="38">
        <v>46177</v>
      </c>
    </row>
    <row r="102" spans="2:11" ht="18.75" customHeight="1" x14ac:dyDescent="0.25">
      <c r="B102" s="24" t="s">
        <v>95</v>
      </c>
      <c r="C102" s="37" t="s">
        <v>227</v>
      </c>
      <c r="D102" s="37"/>
      <c r="E102" s="37" t="s">
        <v>55</v>
      </c>
      <c r="F102" s="37" t="s">
        <v>57</v>
      </c>
      <c r="G102" s="24" t="s">
        <v>56</v>
      </c>
      <c r="H102" s="24">
        <v>2</v>
      </c>
      <c r="J102" s="38">
        <v>46178</v>
      </c>
      <c r="K102" s="38">
        <v>46178</v>
      </c>
    </row>
    <row r="103" spans="2:11" ht="18.75" customHeight="1" x14ac:dyDescent="0.25">
      <c r="B103" s="24" t="s">
        <v>95</v>
      </c>
      <c r="C103" s="37" t="s">
        <v>228</v>
      </c>
      <c r="D103" s="37"/>
      <c r="E103" s="37" t="s">
        <v>55</v>
      </c>
      <c r="F103" s="37" t="s">
        <v>57</v>
      </c>
      <c r="G103" s="24" t="s">
        <v>56</v>
      </c>
      <c r="H103" s="24">
        <v>2</v>
      </c>
      <c r="J103" s="38">
        <v>46181</v>
      </c>
      <c r="K103" s="38">
        <v>46181</v>
      </c>
    </row>
    <row r="104" spans="2:11" ht="18.75" customHeight="1" x14ac:dyDescent="0.25">
      <c r="B104" s="24" t="s">
        <v>95</v>
      </c>
      <c r="C104" s="37" t="s">
        <v>229</v>
      </c>
      <c r="D104" s="37"/>
      <c r="E104" s="37" t="s">
        <v>55</v>
      </c>
      <c r="F104" s="37" t="s">
        <v>57</v>
      </c>
      <c r="G104" s="24" t="s">
        <v>56</v>
      </c>
      <c r="H104" s="24">
        <v>2</v>
      </c>
      <c r="J104" s="38">
        <v>46182</v>
      </c>
      <c r="K104" s="38">
        <v>46182</v>
      </c>
    </row>
    <row r="105" spans="2:11" ht="18.75" customHeight="1" x14ac:dyDescent="0.25">
      <c r="B105" s="24" t="s">
        <v>95</v>
      </c>
      <c r="C105" s="37" t="s">
        <v>230</v>
      </c>
      <c r="D105" s="37"/>
      <c r="E105" s="37" t="s">
        <v>55</v>
      </c>
      <c r="F105" s="37" t="s">
        <v>57</v>
      </c>
      <c r="G105" s="24" t="s">
        <v>56</v>
      </c>
      <c r="H105" s="24">
        <v>2</v>
      </c>
      <c r="J105" s="38">
        <v>46183</v>
      </c>
      <c r="K105" s="38">
        <v>46183</v>
      </c>
    </row>
    <row r="106" spans="2:11" ht="18.75" customHeight="1" x14ac:dyDescent="0.25">
      <c r="B106" s="24" t="s">
        <v>95</v>
      </c>
      <c r="C106" s="37" t="s">
        <v>231</v>
      </c>
      <c r="D106" s="37"/>
      <c r="E106" s="37" t="s">
        <v>55</v>
      </c>
      <c r="F106" s="37" t="s">
        <v>57</v>
      </c>
      <c r="G106" s="24" t="s">
        <v>56</v>
      </c>
      <c r="H106" s="24">
        <v>2</v>
      </c>
      <c r="J106" s="38">
        <v>46184</v>
      </c>
      <c r="K106" s="38">
        <v>46184</v>
      </c>
    </row>
    <row r="107" spans="2:11" ht="18.75" customHeight="1" x14ac:dyDescent="0.25">
      <c r="B107" s="24" t="s">
        <v>95</v>
      </c>
      <c r="C107" s="37" t="s">
        <v>232</v>
      </c>
      <c r="D107" s="37"/>
      <c r="E107" s="37" t="s">
        <v>55</v>
      </c>
      <c r="F107" s="37" t="s">
        <v>57</v>
      </c>
      <c r="G107" s="24" t="s">
        <v>56</v>
      </c>
      <c r="H107" s="24">
        <v>2</v>
      </c>
      <c r="J107" s="38">
        <v>46185</v>
      </c>
      <c r="K107" s="38">
        <v>46185</v>
      </c>
    </row>
    <row r="108" spans="2:11" ht="18.75" customHeight="1" x14ac:dyDescent="0.25">
      <c r="B108" s="24" t="s">
        <v>95</v>
      </c>
      <c r="C108" s="37" t="s">
        <v>233</v>
      </c>
      <c r="D108" s="37"/>
      <c r="E108" s="37" t="s">
        <v>55</v>
      </c>
      <c r="F108" s="37" t="s">
        <v>57</v>
      </c>
      <c r="G108" s="24" t="s">
        <v>56</v>
      </c>
      <c r="H108" s="24">
        <v>2</v>
      </c>
      <c r="J108" s="38">
        <v>46188</v>
      </c>
      <c r="K108" s="38">
        <v>46188</v>
      </c>
    </row>
    <row r="109" spans="2:11" ht="18.75" customHeight="1" x14ac:dyDescent="0.25">
      <c r="B109" s="24" t="s">
        <v>95</v>
      </c>
      <c r="C109" s="37" t="s">
        <v>234</v>
      </c>
      <c r="D109" s="37"/>
      <c r="E109" s="37" t="s">
        <v>55</v>
      </c>
      <c r="F109" s="37" t="s">
        <v>57</v>
      </c>
      <c r="G109" s="24" t="s">
        <v>56</v>
      </c>
      <c r="H109" s="24">
        <v>2</v>
      </c>
      <c r="J109" s="38">
        <v>46189</v>
      </c>
      <c r="K109" s="38">
        <v>46189</v>
      </c>
    </row>
    <row r="110" spans="2:11" ht="18.75" customHeight="1" x14ac:dyDescent="0.25">
      <c r="B110" s="24" t="s">
        <v>95</v>
      </c>
      <c r="C110" s="37" t="s">
        <v>235</v>
      </c>
      <c r="D110" s="37"/>
      <c r="E110" s="37" t="s">
        <v>55</v>
      </c>
      <c r="F110" s="37" t="s">
        <v>57</v>
      </c>
      <c r="G110" s="24" t="s">
        <v>56</v>
      </c>
      <c r="H110" s="24">
        <v>2</v>
      </c>
      <c r="J110" s="38">
        <v>46190</v>
      </c>
      <c r="K110" s="38">
        <v>46190</v>
      </c>
    </row>
    <row r="111" spans="2:11" ht="18.75" customHeight="1" x14ac:dyDescent="0.25">
      <c r="B111" s="24" t="s">
        <v>95</v>
      </c>
      <c r="C111" s="37" t="s">
        <v>236</v>
      </c>
      <c r="D111" s="37"/>
      <c r="E111" s="37" t="s">
        <v>55</v>
      </c>
      <c r="F111" s="37" t="s">
        <v>57</v>
      </c>
      <c r="G111" s="24" t="s">
        <v>56</v>
      </c>
      <c r="H111" s="24">
        <v>2</v>
      </c>
      <c r="J111" s="38">
        <v>46191</v>
      </c>
      <c r="K111" s="38">
        <v>46191</v>
      </c>
    </row>
    <row r="112" spans="2:11" ht="18.75" customHeight="1" x14ac:dyDescent="0.25">
      <c r="B112" s="24" t="s">
        <v>95</v>
      </c>
      <c r="C112" s="37" t="s">
        <v>237</v>
      </c>
      <c r="D112" s="37"/>
      <c r="E112" s="37" t="s">
        <v>55</v>
      </c>
      <c r="F112" s="37" t="s">
        <v>57</v>
      </c>
      <c r="G112" s="24" t="s">
        <v>56</v>
      </c>
      <c r="H112" s="24">
        <v>2</v>
      </c>
      <c r="J112" s="38">
        <v>46192</v>
      </c>
      <c r="K112" s="38">
        <v>46192</v>
      </c>
    </row>
    <row r="113" spans="2:11" ht="18.75" customHeight="1" x14ac:dyDescent="0.25">
      <c r="B113" s="24" t="s">
        <v>95</v>
      </c>
      <c r="C113" s="37" t="s">
        <v>238</v>
      </c>
      <c r="D113" s="37"/>
      <c r="E113" s="37" t="s">
        <v>55</v>
      </c>
      <c r="F113" s="37" t="s">
        <v>57</v>
      </c>
      <c r="G113" s="24" t="s">
        <v>56</v>
      </c>
      <c r="H113" s="24">
        <v>2</v>
      </c>
      <c r="J113" s="38">
        <v>46195</v>
      </c>
      <c r="K113" s="38">
        <v>46195</v>
      </c>
    </row>
    <row r="114" spans="2:11" ht="18.75" customHeight="1" x14ac:dyDescent="0.25">
      <c r="B114" s="24" t="s">
        <v>95</v>
      </c>
      <c r="C114" s="37" t="s">
        <v>239</v>
      </c>
      <c r="D114" s="37"/>
      <c r="E114" s="37" t="s">
        <v>55</v>
      </c>
      <c r="F114" s="37" t="s">
        <v>57</v>
      </c>
      <c r="G114" s="24" t="s">
        <v>56</v>
      </c>
      <c r="H114" s="24">
        <v>2</v>
      </c>
      <c r="J114" s="38">
        <v>46196</v>
      </c>
      <c r="K114" s="38">
        <v>46196</v>
      </c>
    </row>
    <row r="115" spans="2:11" ht="18.75" customHeight="1" x14ac:dyDescent="0.25">
      <c r="B115" s="24" t="s">
        <v>95</v>
      </c>
      <c r="C115" s="37" t="s">
        <v>240</v>
      </c>
      <c r="D115" s="37"/>
      <c r="E115" s="37" t="s">
        <v>55</v>
      </c>
      <c r="F115" s="37" t="s">
        <v>57</v>
      </c>
      <c r="G115" s="24" t="s">
        <v>56</v>
      </c>
      <c r="H115" s="24">
        <v>2</v>
      </c>
      <c r="J115" s="38">
        <v>46197</v>
      </c>
      <c r="K115" s="38">
        <v>46197</v>
      </c>
    </row>
    <row r="116" spans="2:11" ht="18.75" customHeight="1" x14ac:dyDescent="0.25">
      <c r="B116" s="24" t="s">
        <v>95</v>
      </c>
      <c r="C116" s="37" t="s">
        <v>241</v>
      </c>
      <c r="D116" s="37"/>
      <c r="E116" s="37" t="s">
        <v>55</v>
      </c>
      <c r="F116" s="37" t="s">
        <v>57</v>
      </c>
      <c r="G116" s="24" t="s">
        <v>56</v>
      </c>
      <c r="H116" s="24">
        <v>2</v>
      </c>
      <c r="J116" s="38">
        <v>46198</v>
      </c>
      <c r="K116" s="38">
        <v>46198</v>
      </c>
    </row>
    <row r="117" spans="2:11" ht="18.75" customHeight="1" x14ac:dyDescent="0.25">
      <c r="B117" s="24" t="s">
        <v>95</v>
      </c>
      <c r="C117" s="37" t="s">
        <v>242</v>
      </c>
      <c r="D117" s="37"/>
      <c r="E117" s="37" t="s">
        <v>55</v>
      </c>
      <c r="F117" s="37" t="s">
        <v>57</v>
      </c>
      <c r="G117" s="24" t="s">
        <v>56</v>
      </c>
      <c r="H117" s="24">
        <v>2</v>
      </c>
      <c r="J117" s="38">
        <v>46199</v>
      </c>
      <c r="K117" s="38">
        <v>46199</v>
      </c>
    </row>
    <row r="118" spans="2:11" ht="18.75" customHeight="1" x14ac:dyDescent="0.25">
      <c r="B118" s="24" t="s">
        <v>95</v>
      </c>
      <c r="C118" s="37" t="s">
        <v>243</v>
      </c>
      <c r="D118" s="37"/>
      <c r="E118" s="37" t="s">
        <v>55</v>
      </c>
      <c r="F118" s="37" t="s">
        <v>57</v>
      </c>
      <c r="G118" s="24" t="s">
        <v>56</v>
      </c>
      <c r="H118" s="24">
        <v>2</v>
      </c>
      <c r="J118" s="38">
        <v>46202</v>
      </c>
      <c r="K118" s="38">
        <v>46202</v>
      </c>
    </row>
    <row r="119" spans="2:11" ht="18.75" customHeight="1" x14ac:dyDescent="0.25">
      <c r="B119" s="24" t="s">
        <v>95</v>
      </c>
      <c r="C119" s="37" t="s">
        <v>244</v>
      </c>
      <c r="D119" s="37"/>
      <c r="E119" s="37" t="s">
        <v>55</v>
      </c>
      <c r="F119" s="37" t="s">
        <v>57</v>
      </c>
      <c r="G119" s="24" t="s">
        <v>56</v>
      </c>
      <c r="H119" s="24">
        <v>2</v>
      </c>
      <c r="J119" s="38">
        <v>46203</v>
      </c>
      <c r="K119" s="38">
        <v>46203</v>
      </c>
    </row>
    <row r="120" spans="2:11" ht="18.75" customHeight="1" x14ac:dyDescent="0.25">
      <c r="B120" s="24" t="s">
        <v>95</v>
      </c>
      <c r="C120" s="37" t="s">
        <v>245</v>
      </c>
      <c r="D120" s="37"/>
      <c r="E120" s="37" t="s">
        <v>55</v>
      </c>
      <c r="F120" s="37" t="s">
        <v>57</v>
      </c>
      <c r="G120" s="24" t="s">
        <v>56</v>
      </c>
      <c r="H120" s="24">
        <v>20</v>
      </c>
      <c r="J120" s="38">
        <v>46177</v>
      </c>
      <c r="K120" s="38">
        <v>46177</v>
      </c>
    </row>
    <row r="121" spans="2:11" ht="18.75" customHeight="1" x14ac:dyDescent="0.25">
      <c r="B121" s="24" t="s">
        <v>95</v>
      </c>
      <c r="C121" s="37" t="s">
        <v>246</v>
      </c>
      <c r="D121" s="37"/>
      <c r="E121" s="37" t="s">
        <v>55</v>
      </c>
      <c r="F121" s="37" t="s">
        <v>57</v>
      </c>
      <c r="G121" s="24" t="s">
        <v>56</v>
      </c>
      <c r="H121" s="24">
        <v>20</v>
      </c>
      <c r="J121" s="38">
        <v>46178</v>
      </c>
      <c r="K121" s="38">
        <v>46178</v>
      </c>
    </row>
    <row r="122" spans="2:11" ht="18.75" customHeight="1" x14ac:dyDescent="0.25">
      <c r="B122" s="24" t="s">
        <v>95</v>
      </c>
      <c r="C122" s="37" t="s">
        <v>247</v>
      </c>
      <c r="D122" s="37"/>
      <c r="E122" s="37" t="s">
        <v>55</v>
      </c>
      <c r="F122" s="37" t="s">
        <v>57</v>
      </c>
      <c r="G122" s="24" t="s">
        <v>56</v>
      </c>
      <c r="H122" s="24">
        <v>20</v>
      </c>
      <c r="J122" s="38">
        <v>46181</v>
      </c>
      <c r="K122" s="38">
        <v>46181</v>
      </c>
    </row>
    <row r="123" spans="2:11" ht="18.75" customHeight="1" x14ac:dyDescent="0.25">
      <c r="B123" s="24" t="s">
        <v>95</v>
      </c>
      <c r="C123" s="37" t="s">
        <v>248</v>
      </c>
      <c r="D123" s="37"/>
      <c r="E123" s="37" t="s">
        <v>55</v>
      </c>
      <c r="F123" s="37" t="s">
        <v>57</v>
      </c>
      <c r="G123" s="24" t="s">
        <v>56</v>
      </c>
      <c r="H123" s="24">
        <v>20</v>
      </c>
      <c r="J123" s="38">
        <v>46182</v>
      </c>
      <c r="K123" s="38">
        <v>46182</v>
      </c>
    </row>
    <row r="124" spans="2:11" ht="18.75" customHeight="1" x14ac:dyDescent="0.25">
      <c r="B124" s="24" t="s">
        <v>95</v>
      </c>
      <c r="C124" s="37" t="s">
        <v>249</v>
      </c>
      <c r="D124" s="37"/>
      <c r="E124" s="37" t="s">
        <v>55</v>
      </c>
      <c r="F124" s="37" t="s">
        <v>57</v>
      </c>
      <c r="G124" s="24" t="s">
        <v>56</v>
      </c>
      <c r="H124" s="24">
        <v>20</v>
      </c>
      <c r="J124" s="38">
        <v>46183</v>
      </c>
      <c r="K124" s="38">
        <v>46183</v>
      </c>
    </row>
    <row r="125" spans="2:11" ht="18.75" customHeight="1" x14ac:dyDescent="0.25">
      <c r="B125" s="24" t="s">
        <v>95</v>
      </c>
      <c r="C125" s="37" t="s">
        <v>250</v>
      </c>
      <c r="D125" s="37"/>
      <c r="E125" s="37" t="s">
        <v>55</v>
      </c>
      <c r="F125" s="37" t="s">
        <v>57</v>
      </c>
      <c r="G125" s="24" t="s">
        <v>56</v>
      </c>
      <c r="H125" s="24">
        <v>20</v>
      </c>
      <c r="J125" s="38">
        <v>46184</v>
      </c>
      <c r="K125" s="38">
        <v>46184</v>
      </c>
    </row>
    <row r="126" spans="2:11" ht="18.75" customHeight="1" x14ac:dyDescent="0.25">
      <c r="B126" s="24" t="s">
        <v>95</v>
      </c>
      <c r="C126" s="37" t="s">
        <v>251</v>
      </c>
      <c r="D126" s="37"/>
      <c r="E126" s="37" t="s">
        <v>55</v>
      </c>
      <c r="F126" s="37" t="s">
        <v>57</v>
      </c>
      <c r="G126" s="24" t="s">
        <v>56</v>
      </c>
      <c r="H126" s="24">
        <v>20</v>
      </c>
      <c r="J126" s="38">
        <v>46185</v>
      </c>
      <c r="K126" s="38">
        <v>46185</v>
      </c>
    </row>
    <row r="127" spans="2:11" ht="18.75" customHeight="1" x14ac:dyDescent="0.25">
      <c r="B127" s="24" t="s">
        <v>95</v>
      </c>
      <c r="C127" s="37" t="s">
        <v>252</v>
      </c>
      <c r="D127" s="37"/>
      <c r="E127" s="37" t="s">
        <v>55</v>
      </c>
      <c r="F127" s="37" t="s">
        <v>57</v>
      </c>
      <c r="G127" s="24" t="s">
        <v>56</v>
      </c>
      <c r="H127" s="24">
        <v>20</v>
      </c>
      <c r="J127" s="38">
        <v>46188</v>
      </c>
      <c r="K127" s="38">
        <v>46188</v>
      </c>
    </row>
    <row r="128" spans="2:11" ht="18.75" customHeight="1" x14ac:dyDescent="0.25">
      <c r="B128" s="24" t="s">
        <v>95</v>
      </c>
      <c r="C128" s="37" t="s">
        <v>253</v>
      </c>
      <c r="D128" s="37"/>
      <c r="E128" s="37" t="s">
        <v>55</v>
      </c>
      <c r="F128" s="37" t="s">
        <v>57</v>
      </c>
      <c r="G128" s="24" t="s">
        <v>56</v>
      </c>
      <c r="H128" s="24">
        <v>20</v>
      </c>
      <c r="J128" s="38">
        <v>46189</v>
      </c>
      <c r="K128" s="38">
        <v>46189</v>
      </c>
    </row>
    <row r="129" spans="2:11" ht="18.75" customHeight="1" x14ac:dyDescent="0.25">
      <c r="B129" s="24" t="s">
        <v>95</v>
      </c>
      <c r="C129" s="37" t="s">
        <v>254</v>
      </c>
      <c r="D129" s="37"/>
      <c r="E129" s="37" t="s">
        <v>55</v>
      </c>
      <c r="F129" s="37" t="s">
        <v>57</v>
      </c>
      <c r="G129" s="24" t="s">
        <v>56</v>
      </c>
      <c r="H129" s="24">
        <v>20</v>
      </c>
      <c r="J129" s="38">
        <v>46190</v>
      </c>
      <c r="K129" s="38">
        <v>46190</v>
      </c>
    </row>
    <row r="130" spans="2:11" ht="18.75" customHeight="1" x14ac:dyDescent="0.25">
      <c r="B130" s="24" t="s">
        <v>95</v>
      </c>
      <c r="C130" s="37" t="s">
        <v>255</v>
      </c>
      <c r="D130" s="37"/>
      <c r="E130" s="37" t="s">
        <v>55</v>
      </c>
      <c r="F130" s="37" t="s">
        <v>57</v>
      </c>
      <c r="G130" s="24" t="s">
        <v>56</v>
      </c>
      <c r="H130" s="24">
        <v>20</v>
      </c>
      <c r="J130" s="38">
        <v>46191</v>
      </c>
      <c r="K130" s="38">
        <v>46191</v>
      </c>
    </row>
    <row r="131" spans="2:11" ht="18.75" customHeight="1" x14ac:dyDescent="0.25">
      <c r="B131" s="24" t="s">
        <v>95</v>
      </c>
      <c r="C131" s="37" t="s">
        <v>256</v>
      </c>
      <c r="D131" s="37"/>
      <c r="E131" s="37" t="s">
        <v>55</v>
      </c>
      <c r="F131" s="37" t="s">
        <v>57</v>
      </c>
      <c r="G131" s="24" t="s">
        <v>56</v>
      </c>
      <c r="H131" s="24">
        <v>20</v>
      </c>
      <c r="J131" s="38">
        <v>46192</v>
      </c>
      <c r="K131" s="38">
        <v>46192</v>
      </c>
    </row>
    <row r="132" spans="2:11" ht="18.75" customHeight="1" x14ac:dyDescent="0.25">
      <c r="B132" s="24" t="s">
        <v>95</v>
      </c>
      <c r="C132" s="37" t="s">
        <v>257</v>
      </c>
      <c r="D132" s="37"/>
      <c r="E132" s="37" t="s">
        <v>55</v>
      </c>
      <c r="F132" s="37" t="s">
        <v>57</v>
      </c>
      <c r="G132" s="24" t="s">
        <v>56</v>
      </c>
      <c r="H132" s="24">
        <v>20</v>
      </c>
      <c r="J132" s="38">
        <v>46195</v>
      </c>
      <c r="K132" s="38">
        <v>46195</v>
      </c>
    </row>
    <row r="133" spans="2:11" ht="18.75" customHeight="1" x14ac:dyDescent="0.25">
      <c r="B133" s="24" t="s">
        <v>95</v>
      </c>
      <c r="C133" s="37" t="s">
        <v>258</v>
      </c>
      <c r="D133" s="37"/>
      <c r="E133" s="37" t="s">
        <v>55</v>
      </c>
      <c r="F133" s="37" t="s">
        <v>57</v>
      </c>
      <c r="G133" s="24" t="s">
        <v>56</v>
      </c>
      <c r="H133" s="24">
        <v>20</v>
      </c>
      <c r="J133" s="38">
        <v>46196</v>
      </c>
      <c r="K133" s="38">
        <v>46196</v>
      </c>
    </row>
    <row r="134" spans="2:11" ht="18.75" customHeight="1" x14ac:dyDescent="0.25">
      <c r="B134" s="24" t="s">
        <v>95</v>
      </c>
      <c r="C134" s="37" t="s">
        <v>259</v>
      </c>
      <c r="D134" s="37"/>
      <c r="E134" s="37" t="s">
        <v>55</v>
      </c>
      <c r="F134" s="37" t="s">
        <v>57</v>
      </c>
      <c r="G134" s="24" t="s">
        <v>56</v>
      </c>
      <c r="H134" s="24">
        <v>20</v>
      </c>
      <c r="J134" s="38">
        <v>46197</v>
      </c>
      <c r="K134" s="38">
        <v>46197</v>
      </c>
    </row>
    <row r="135" spans="2:11" ht="18.75" customHeight="1" x14ac:dyDescent="0.25">
      <c r="B135" s="24" t="s">
        <v>95</v>
      </c>
      <c r="C135" s="37" t="s">
        <v>260</v>
      </c>
      <c r="D135" s="37"/>
      <c r="E135" s="37" t="s">
        <v>55</v>
      </c>
      <c r="F135" s="37" t="s">
        <v>57</v>
      </c>
      <c r="G135" s="24" t="s">
        <v>56</v>
      </c>
      <c r="H135" s="24">
        <v>20</v>
      </c>
      <c r="J135" s="38">
        <v>46198</v>
      </c>
      <c r="K135" s="38">
        <v>46198</v>
      </c>
    </row>
    <row r="136" spans="2:11" ht="18.75" customHeight="1" x14ac:dyDescent="0.25">
      <c r="B136" s="24" t="s">
        <v>95</v>
      </c>
      <c r="C136" s="37" t="s">
        <v>261</v>
      </c>
      <c r="D136" s="37"/>
      <c r="E136" s="37" t="s">
        <v>55</v>
      </c>
      <c r="F136" s="37" t="s">
        <v>57</v>
      </c>
      <c r="G136" s="24" t="s">
        <v>56</v>
      </c>
      <c r="H136" s="24">
        <v>20</v>
      </c>
      <c r="J136" s="38">
        <v>46199</v>
      </c>
      <c r="K136" s="38">
        <v>46199</v>
      </c>
    </row>
    <row r="137" spans="2:11" ht="18.75" customHeight="1" x14ac:dyDescent="0.25">
      <c r="B137" s="24" t="s">
        <v>95</v>
      </c>
      <c r="C137" s="37" t="s">
        <v>262</v>
      </c>
      <c r="D137" s="37"/>
      <c r="E137" s="37" t="s">
        <v>55</v>
      </c>
      <c r="F137" s="37" t="s">
        <v>57</v>
      </c>
      <c r="G137" s="24" t="s">
        <v>56</v>
      </c>
      <c r="H137" s="24">
        <v>20</v>
      </c>
      <c r="J137" s="38">
        <v>46202</v>
      </c>
      <c r="K137" s="38">
        <v>46202</v>
      </c>
    </row>
    <row r="138" spans="2:11" ht="18.75" customHeight="1" x14ac:dyDescent="0.25">
      <c r="B138" s="24" t="s">
        <v>95</v>
      </c>
      <c r="C138" s="37" t="s">
        <v>263</v>
      </c>
      <c r="D138" s="37"/>
      <c r="E138" s="37" t="s">
        <v>55</v>
      </c>
      <c r="F138" s="37" t="s">
        <v>57</v>
      </c>
      <c r="G138" s="24" t="s">
        <v>56</v>
      </c>
      <c r="H138" s="24">
        <v>20</v>
      </c>
      <c r="J138" s="38">
        <v>46203</v>
      </c>
      <c r="K138" s="38">
        <v>46203</v>
      </c>
    </row>
    <row r="139" spans="2:11" ht="18.75" customHeight="1" x14ac:dyDescent="0.25">
      <c r="B139" s="24" t="s">
        <v>95</v>
      </c>
      <c r="C139" s="37" t="s">
        <v>264</v>
      </c>
      <c r="D139" s="37"/>
      <c r="E139" s="37" t="s">
        <v>55</v>
      </c>
      <c r="F139" s="37" t="s">
        <v>57</v>
      </c>
      <c r="G139" s="24" t="s">
        <v>56</v>
      </c>
      <c r="H139" s="24">
        <v>20</v>
      </c>
      <c r="J139" s="38">
        <v>46177</v>
      </c>
      <c r="K139" s="38">
        <v>46177</v>
      </c>
    </row>
    <row r="140" spans="2:11" ht="18.75" customHeight="1" x14ac:dyDescent="0.25">
      <c r="B140" s="24" t="s">
        <v>95</v>
      </c>
      <c r="C140" s="37" t="s">
        <v>265</v>
      </c>
      <c r="D140" s="37"/>
      <c r="E140" s="37" t="s">
        <v>55</v>
      </c>
      <c r="F140" s="37" t="s">
        <v>57</v>
      </c>
      <c r="G140" s="24" t="s">
        <v>56</v>
      </c>
      <c r="H140" s="24">
        <v>20</v>
      </c>
      <c r="J140" s="38">
        <v>46178</v>
      </c>
      <c r="K140" s="38">
        <v>46178</v>
      </c>
    </row>
    <row r="141" spans="2:11" ht="18.75" customHeight="1" x14ac:dyDescent="0.25">
      <c r="B141" s="24" t="s">
        <v>95</v>
      </c>
      <c r="C141" s="37" t="s">
        <v>266</v>
      </c>
      <c r="D141" s="37"/>
      <c r="E141" s="37" t="s">
        <v>55</v>
      </c>
      <c r="F141" s="37" t="s">
        <v>57</v>
      </c>
      <c r="G141" s="24" t="s">
        <v>56</v>
      </c>
      <c r="H141" s="24">
        <v>20</v>
      </c>
      <c r="J141" s="38">
        <v>46181</v>
      </c>
      <c r="K141" s="38">
        <v>46181</v>
      </c>
    </row>
    <row r="142" spans="2:11" ht="18.75" customHeight="1" x14ac:dyDescent="0.25">
      <c r="B142" s="24" t="s">
        <v>95</v>
      </c>
      <c r="C142" s="37" t="s">
        <v>267</v>
      </c>
      <c r="D142" s="37"/>
      <c r="E142" s="37" t="s">
        <v>55</v>
      </c>
      <c r="F142" s="37" t="s">
        <v>57</v>
      </c>
      <c r="G142" s="24" t="s">
        <v>56</v>
      </c>
      <c r="H142" s="24">
        <v>20</v>
      </c>
      <c r="J142" s="38">
        <v>46182</v>
      </c>
      <c r="K142" s="38">
        <v>46182</v>
      </c>
    </row>
    <row r="143" spans="2:11" ht="18.75" customHeight="1" x14ac:dyDescent="0.25">
      <c r="B143" s="24" t="s">
        <v>95</v>
      </c>
      <c r="C143" s="37" t="s">
        <v>268</v>
      </c>
      <c r="D143" s="37"/>
      <c r="E143" s="37" t="s">
        <v>55</v>
      </c>
      <c r="F143" s="37" t="s">
        <v>57</v>
      </c>
      <c r="G143" s="24" t="s">
        <v>56</v>
      </c>
      <c r="H143" s="24">
        <v>20</v>
      </c>
      <c r="J143" s="38">
        <v>46183</v>
      </c>
      <c r="K143" s="38">
        <v>46183</v>
      </c>
    </row>
    <row r="144" spans="2:11" ht="18.75" customHeight="1" x14ac:dyDescent="0.25">
      <c r="B144" s="24" t="s">
        <v>95</v>
      </c>
      <c r="C144" s="37" t="s">
        <v>269</v>
      </c>
      <c r="D144" s="37"/>
      <c r="E144" s="37" t="s">
        <v>55</v>
      </c>
      <c r="F144" s="37" t="s">
        <v>57</v>
      </c>
      <c r="G144" s="24" t="s">
        <v>56</v>
      </c>
      <c r="H144" s="24">
        <v>20</v>
      </c>
      <c r="J144" s="38">
        <v>46184</v>
      </c>
      <c r="K144" s="38">
        <v>46184</v>
      </c>
    </row>
    <row r="145" spans="2:11" ht="18.75" customHeight="1" x14ac:dyDescent="0.25">
      <c r="B145" s="24" t="s">
        <v>95</v>
      </c>
      <c r="C145" s="37" t="s">
        <v>270</v>
      </c>
      <c r="D145" s="37"/>
      <c r="E145" s="37" t="s">
        <v>55</v>
      </c>
      <c r="F145" s="37" t="s">
        <v>57</v>
      </c>
      <c r="G145" s="24" t="s">
        <v>56</v>
      </c>
      <c r="H145" s="24">
        <v>20</v>
      </c>
      <c r="J145" s="38">
        <v>46185</v>
      </c>
      <c r="K145" s="38">
        <v>46185</v>
      </c>
    </row>
    <row r="146" spans="2:11" ht="18.75" customHeight="1" x14ac:dyDescent="0.25">
      <c r="B146" s="24" t="s">
        <v>95</v>
      </c>
      <c r="C146" s="37" t="s">
        <v>271</v>
      </c>
      <c r="D146" s="37"/>
      <c r="E146" s="37" t="s">
        <v>55</v>
      </c>
      <c r="F146" s="37" t="s">
        <v>57</v>
      </c>
      <c r="G146" s="24" t="s">
        <v>56</v>
      </c>
      <c r="H146" s="24">
        <v>20</v>
      </c>
      <c r="J146" s="38">
        <v>46188</v>
      </c>
      <c r="K146" s="38">
        <v>46188</v>
      </c>
    </row>
    <row r="147" spans="2:11" ht="18.75" customHeight="1" x14ac:dyDescent="0.25">
      <c r="B147" s="24" t="s">
        <v>95</v>
      </c>
      <c r="C147" s="37" t="s">
        <v>272</v>
      </c>
      <c r="D147" s="37"/>
      <c r="E147" s="37" t="s">
        <v>55</v>
      </c>
      <c r="F147" s="37" t="s">
        <v>57</v>
      </c>
      <c r="G147" s="24" t="s">
        <v>56</v>
      </c>
      <c r="H147" s="24">
        <v>20</v>
      </c>
      <c r="J147" s="38">
        <v>46189</v>
      </c>
      <c r="K147" s="38">
        <v>46189</v>
      </c>
    </row>
    <row r="148" spans="2:11" ht="18.75" customHeight="1" x14ac:dyDescent="0.25">
      <c r="B148" s="24" t="s">
        <v>95</v>
      </c>
      <c r="C148" s="37" t="s">
        <v>273</v>
      </c>
      <c r="D148" s="37"/>
      <c r="E148" s="37" t="s">
        <v>55</v>
      </c>
      <c r="F148" s="37" t="s">
        <v>57</v>
      </c>
      <c r="G148" s="24" t="s">
        <v>56</v>
      </c>
      <c r="H148" s="24">
        <v>20</v>
      </c>
      <c r="J148" s="38">
        <v>46190</v>
      </c>
      <c r="K148" s="38">
        <v>46190</v>
      </c>
    </row>
    <row r="149" spans="2:11" ht="18.75" customHeight="1" x14ac:dyDescent="0.25">
      <c r="B149" s="24" t="s">
        <v>95</v>
      </c>
      <c r="C149" s="37" t="s">
        <v>274</v>
      </c>
      <c r="D149" s="37"/>
      <c r="E149" s="37" t="s">
        <v>55</v>
      </c>
      <c r="F149" s="37" t="s">
        <v>57</v>
      </c>
      <c r="G149" s="24" t="s">
        <v>56</v>
      </c>
      <c r="H149" s="24">
        <v>20</v>
      </c>
      <c r="J149" s="38">
        <v>46191</v>
      </c>
      <c r="K149" s="38">
        <v>46191</v>
      </c>
    </row>
    <row r="150" spans="2:11" ht="18.75" customHeight="1" x14ac:dyDescent="0.25">
      <c r="B150" s="24" t="s">
        <v>95</v>
      </c>
      <c r="C150" s="37" t="s">
        <v>275</v>
      </c>
      <c r="D150" s="37"/>
      <c r="E150" s="37" t="s">
        <v>55</v>
      </c>
      <c r="F150" s="37" t="s">
        <v>57</v>
      </c>
      <c r="G150" s="24" t="s">
        <v>56</v>
      </c>
      <c r="H150" s="24">
        <v>20</v>
      </c>
      <c r="J150" s="38">
        <v>46192</v>
      </c>
      <c r="K150" s="38">
        <v>46192</v>
      </c>
    </row>
    <row r="151" spans="2:11" ht="18.75" customHeight="1" x14ac:dyDescent="0.25">
      <c r="B151" s="24" t="s">
        <v>95</v>
      </c>
      <c r="C151" s="37" t="s">
        <v>276</v>
      </c>
      <c r="D151" s="37"/>
      <c r="E151" s="37" t="s">
        <v>55</v>
      </c>
      <c r="F151" s="37" t="s">
        <v>57</v>
      </c>
      <c r="G151" s="24" t="s">
        <v>56</v>
      </c>
      <c r="H151" s="24">
        <v>20</v>
      </c>
      <c r="J151" s="38">
        <v>46195</v>
      </c>
      <c r="K151" s="38">
        <v>46195</v>
      </c>
    </row>
    <row r="152" spans="2:11" ht="18.75" customHeight="1" x14ac:dyDescent="0.25">
      <c r="B152" s="24" t="s">
        <v>95</v>
      </c>
      <c r="C152" s="37" t="s">
        <v>277</v>
      </c>
      <c r="D152" s="37"/>
      <c r="E152" s="37" t="s">
        <v>55</v>
      </c>
      <c r="F152" s="37" t="s">
        <v>57</v>
      </c>
      <c r="G152" s="24" t="s">
        <v>56</v>
      </c>
      <c r="H152" s="24">
        <v>20</v>
      </c>
      <c r="J152" s="38">
        <v>46196</v>
      </c>
      <c r="K152" s="38">
        <v>46196</v>
      </c>
    </row>
    <row r="153" spans="2:11" ht="18.75" customHeight="1" x14ac:dyDescent="0.25">
      <c r="B153" s="24" t="s">
        <v>95</v>
      </c>
      <c r="C153" s="37" t="s">
        <v>278</v>
      </c>
      <c r="D153" s="37"/>
      <c r="E153" s="37" t="s">
        <v>55</v>
      </c>
      <c r="F153" s="37" t="s">
        <v>57</v>
      </c>
      <c r="G153" s="24" t="s">
        <v>56</v>
      </c>
      <c r="H153" s="24">
        <v>20</v>
      </c>
      <c r="J153" s="38">
        <v>46197</v>
      </c>
      <c r="K153" s="38">
        <v>46197</v>
      </c>
    </row>
    <row r="154" spans="2:11" ht="18.75" customHeight="1" x14ac:dyDescent="0.25">
      <c r="B154" s="24" t="s">
        <v>95</v>
      </c>
      <c r="C154" s="37" t="s">
        <v>279</v>
      </c>
      <c r="D154" s="37"/>
      <c r="E154" s="37" t="s">
        <v>55</v>
      </c>
      <c r="F154" s="37" t="s">
        <v>57</v>
      </c>
      <c r="G154" s="24" t="s">
        <v>56</v>
      </c>
      <c r="H154" s="24">
        <v>20</v>
      </c>
      <c r="J154" s="38">
        <v>46198</v>
      </c>
      <c r="K154" s="38">
        <v>46198</v>
      </c>
    </row>
    <row r="155" spans="2:11" ht="18.75" customHeight="1" x14ac:dyDescent="0.25">
      <c r="B155" s="24" t="s">
        <v>95</v>
      </c>
      <c r="C155" s="37" t="s">
        <v>280</v>
      </c>
      <c r="D155" s="37"/>
      <c r="E155" s="37" t="s">
        <v>55</v>
      </c>
      <c r="F155" s="37" t="s">
        <v>57</v>
      </c>
      <c r="G155" s="24" t="s">
        <v>56</v>
      </c>
      <c r="H155" s="24">
        <v>20</v>
      </c>
      <c r="J155" s="38">
        <v>46199</v>
      </c>
      <c r="K155" s="38">
        <v>46199</v>
      </c>
    </row>
    <row r="156" spans="2:11" ht="18.75" customHeight="1" x14ac:dyDescent="0.25">
      <c r="B156" s="24" t="s">
        <v>95</v>
      </c>
      <c r="C156" s="37" t="s">
        <v>281</v>
      </c>
      <c r="D156" s="37"/>
      <c r="E156" s="37" t="s">
        <v>55</v>
      </c>
      <c r="F156" s="37" t="s">
        <v>57</v>
      </c>
      <c r="G156" s="24" t="s">
        <v>56</v>
      </c>
      <c r="H156" s="24">
        <v>20</v>
      </c>
      <c r="J156" s="38">
        <v>46202</v>
      </c>
      <c r="K156" s="38">
        <v>46202</v>
      </c>
    </row>
    <row r="157" spans="2:11" ht="18.75" customHeight="1" x14ac:dyDescent="0.25">
      <c r="B157" s="24" t="s">
        <v>95</v>
      </c>
      <c r="C157" s="37" t="s">
        <v>282</v>
      </c>
      <c r="D157" s="37"/>
      <c r="E157" s="37" t="s">
        <v>55</v>
      </c>
      <c r="F157" s="37" t="s">
        <v>57</v>
      </c>
      <c r="G157" s="24" t="s">
        <v>56</v>
      </c>
      <c r="H157" s="24">
        <v>20</v>
      </c>
      <c r="J157" s="38">
        <v>46203</v>
      </c>
      <c r="K157" s="38">
        <v>46203</v>
      </c>
    </row>
    <row r="158" spans="2:11" ht="18.75" customHeight="1" x14ac:dyDescent="0.25">
      <c r="B158" s="24" t="s">
        <v>95</v>
      </c>
      <c r="C158" s="37" t="s">
        <v>283</v>
      </c>
      <c r="D158" s="37"/>
      <c r="E158" s="37" t="s">
        <v>55</v>
      </c>
      <c r="F158" s="37" t="s">
        <v>57</v>
      </c>
      <c r="G158" s="24" t="s">
        <v>56</v>
      </c>
      <c r="H158" s="24">
        <v>2</v>
      </c>
      <c r="J158" s="38">
        <v>46177</v>
      </c>
      <c r="K158" s="38">
        <v>46177</v>
      </c>
    </row>
    <row r="159" spans="2:11" ht="18.75" customHeight="1" x14ac:dyDescent="0.25">
      <c r="B159" s="24" t="s">
        <v>95</v>
      </c>
      <c r="C159" s="37" t="s">
        <v>284</v>
      </c>
      <c r="D159" s="37"/>
      <c r="E159" s="37" t="s">
        <v>55</v>
      </c>
      <c r="F159" s="37" t="s">
        <v>57</v>
      </c>
      <c r="G159" s="24" t="s">
        <v>56</v>
      </c>
      <c r="H159" s="24">
        <v>2</v>
      </c>
      <c r="J159" s="38">
        <v>46178</v>
      </c>
      <c r="K159" s="38">
        <v>46178</v>
      </c>
    </row>
    <row r="160" spans="2:11" ht="18.75" customHeight="1" x14ac:dyDescent="0.25">
      <c r="B160" s="24" t="s">
        <v>95</v>
      </c>
      <c r="C160" s="37" t="s">
        <v>285</v>
      </c>
      <c r="D160" s="37"/>
      <c r="E160" s="37" t="s">
        <v>55</v>
      </c>
      <c r="F160" s="37" t="s">
        <v>57</v>
      </c>
      <c r="G160" s="24" t="s">
        <v>56</v>
      </c>
      <c r="H160" s="24">
        <v>2</v>
      </c>
      <c r="J160" s="38">
        <v>46181</v>
      </c>
      <c r="K160" s="38">
        <v>46181</v>
      </c>
    </row>
    <row r="161" spans="2:11" ht="18.75" customHeight="1" x14ac:dyDescent="0.25">
      <c r="B161" s="24" t="s">
        <v>95</v>
      </c>
      <c r="C161" s="37" t="s">
        <v>286</v>
      </c>
      <c r="D161" s="37"/>
      <c r="E161" s="37" t="s">
        <v>55</v>
      </c>
      <c r="F161" s="37" t="s">
        <v>57</v>
      </c>
      <c r="G161" s="24" t="s">
        <v>56</v>
      </c>
      <c r="H161" s="24">
        <v>2</v>
      </c>
      <c r="J161" s="38">
        <v>46182</v>
      </c>
      <c r="K161" s="38">
        <v>46182</v>
      </c>
    </row>
    <row r="162" spans="2:11" ht="18.75" customHeight="1" x14ac:dyDescent="0.25">
      <c r="B162" s="24" t="s">
        <v>95</v>
      </c>
      <c r="C162" s="37" t="s">
        <v>287</v>
      </c>
      <c r="D162" s="37"/>
      <c r="E162" s="37" t="s">
        <v>55</v>
      </c>
      <c r="F162" s="37" t="s">
        <v>57</v>
      </c>
      <c r="G162" s="24" t="s">
        <v>56</v>
      </c>
      <c r="H162" s="24">
        <v>2</v>
      </c>
      <c r="J162" s="38">
        <v>46183</v>
      </c>
      <c r="K162" s="38">
        <v>46183</v>
      </c>
    </row>
    <row r="163" spans="2:11" ht="18.75" customHeight="1" x14ac:dyDescent="0.25">
      <c r="B163" s="24" t="s">
        <v>95</v>
      </c>
      <c r="C163" s="37" t="s">
        <v>288</v>
      </c>
      <c r="D163" s="37"/>
      <c r="E163" s="37" t="s">
        <v>55</v>
      </c>
      <c r="F163" s="37" t="s">
        <v>57</v>
      </c>
      <c r="G163" s="24" t="s">
        <v>56</v>
      </c>
      <c r="H163" s="24">
        <v>2</v>
      </c>
      <c r="J163" s="38">
        <v>46184</v>
      </c>
      <c r="K163" s="38">
        <v>46184</v>
      </c>
    </row>
    <row r="164" spans="2:11" ht="18.75" customHeight="1" x14ac:dyDescent="0.25">
      <c r="B164" s="24" t="s">
        <v>95</v>
      </c>
      <c r="C164" s="37" t="s">
        <v>289</v>
      </c>
      <c r="D164" s="37"/>
      <c r="E164" s="37" t="s">
        <v>55</v>
      </c>
      <c r="F164" s="37" t="s">
        <v>57</v>
      </c>
      <c r="G164" s="24" t="s">
        <v>56</v>
      </c>
      <c r="H164" s="24">
        <v>2</v>
      </c>
      <c r="J164" s="38">
        <v>46185</v>
      </c>
      <c r="K164" s="38">
        <v>46185</v>
      </c>
    </row>
    <row r="165" spans="2:11" ht="18.75" customHeight="1" x14ac:dyDescent="0.25">
      <c r="B165" s="24" t="s">
        <v>95</v>
      </c>
      <c r="C165" s="37" t="s">
        <v>290</v>
      </c>
      <c r="D165" s="37"/>
      <c r="E165" s="37" t="s">
        <v>55</v>
      </c>
      <c r="F165" s="37" t="s">
        <v>57</v>
      </c>
      <c r="G165" s="24" t="s">
        <v>56</v>
      </c>
      <c r="H165" s="24">
        <v>2</v>
      </c>
      <c r="J165" s="38">
        <v>46188</v>
      </c>
      <c r="K165" s="38">
        <v>46188</v>
      </c>
    </row>
    <row r="166" spans="2:11" ht="18.75" customHeight="1" x14ac:dyDescent="0.25">
      <c r="B166" s="24" t="s">
        <v>95</v>
      </c>
      <c r="C166" s="37" t="s">
        <v>291</v>
      </c>
      <c r="D166" s="37"/>
      <c r="E166" s="37" t="s">
        <v>55</v>
      </c>
      <c r="F166" s="37" t="s">
        <v>57</v>
      </c>
      <c r="G166" s="24" t="s">
        <v>56</v>
      </c>
      <c r="H166" s="24">
        <v>2</v>
      </c>
      <c r="J166" s="38">
        <v>46189</v>
      </c>
      <c r="K166" s="38">
        <v>46189</v>
      </c>
    </row>
    <row r="167" spans="2:11" ht="18.75" customHeight="1" x14ac:dyDescent="0.25">
      <c r="B167" s="24" t="s">
        <v>95</v>
      </c>
      <c r="C167" s="37" t="s">
        <v>292</v>
      </c>
      <c r="D167" s="37"/>
      <c r="E167" s="37" t="s">
        <v>55</v>
      </c>
      <c r="F167" s="37" t="s">
        <v>57</v>
      </c>
      <c r="G167" s="24" t="s">
        <v>56</v>
      </c>
      <c r="H167" s="24">
        <v>2</v>
      </c>
      <c r="J167" s="38">
        <v>46190</v>
      </c>
      <c r="K167" s="38">
        <v>46190</v>
      </c>
    </row>
    <row r="168" spans="2:11" ht="18.75" customHeight="1" x14ac:dyDescent="0.25">
      <c r="B168" s="24" t="s">
        <v>95</v>
      </c>
      <c r="C168" s="37" t="s">
        <v>293</v>
      </c>
      <c r="D168" s="37"/>
      <c r="E168" s="37" t="s">
        <v>55</v>
      </c>
      <c r="F168" s="37" t="s">
        <v>57</v>
      </c>
      <c r="G168" s="24" t="s">
        <v>56</v>
      </c>
      <c r="H168" s="24">
        <v>2</v>
      </c>
      <c r="J168" s="38">
        <v>46191</v>
      </c>
      <c r="K168" s="38">
        <v>46191</v>
      </c>
    </row>
    <row r="169" spans="2:11" ht="18.75" customHeight="1" x14ac:dyDescent="0.25">
      <c r="B169" s="24" t="s">
        <v>95</v>
      </c>
      <c r="C169" s="37" t="s">
        <v>294</v>
      </c>
      <c r="D169" s="37"/>
      <c r="E169" s="37" t="s">
        <v>55</v>
      </c>
      <c r="F169" s="37" t="s">
        <v>57</v>
      </c>
      <c r="G169" s="24" t="s">
        <v>56</v>
      </c>
      <c r="H169" s="24">
        <v>2</v>
      </c>
      <c r="J169" s="38">
        <v>46192</v>
      </c>
      <c r="K169" s="38">
        <v>46192</v>
      </c>
    </row>
    <row r="170" spans="2:11" ht="18.75" customHeight="1" x14ac:dyDescent="0.25">
      <c r="B170" s="24" t="s">
        <v>95</v>
      </c>
      <c r="C170" s="37" t="s">
        <v>295</v>
      </c>
      <c r="D170" s="37"/>
      <c r="E170" s="37" t="s">
        <v>55</v>
      </c>
      <c r="F170" s="37" t="s">
        <v>57</v>
      </c>
      <c r="G170" s="24" t="s">
        <v>56</v>
      </c>
      <c r="H170" s="24">
        <v>2</v>
      </c>
      <c r="J170" s="38">
        <v>46195</v>
      </c>
      <c r="K170" s="38">
        <v>46195</v>
      </c>
    </row>
    <row r="171" spans="2:11" ht="18.75" customHeight="1" x14ac:dyDescent="0.25">
      <c r="B171" s="24" t="s">
        <v>95</v>
      </c>
      <c r="C171" s="37" t="s">
        <v>296</v>
      </c>
      <c r="D171" s="37"/>
      <c r="E171" s="37" t="s">
        <v>55</v>
      </c>
      <c r="F171" s="37" t="s">
        <v>57</v>
      </c>
      <c r="G171" s="24" t="s">
        <v>56</v>
      </c>
      <c r="H171" s="24">
        <v>2</v>
      </c>
      <c r="J171" s="38">
        <v>46196</v>
      </c>
      <c r="K171" s="38">
        <v>46196</v>
      </c>
    </row>
    <row r="172" spans="2:11" ht="18.75" customHeight="1" x14ac:dyDescent="0.25">
      <c r="B172" s="24" t="s">
        <v>95</v>
      </c>
      <c r="C172" s="37" t="s">
        <v>297</v>
      </c>
      <c r="D172" s="37"/>
      <c r="E172" s="37" t="s">
        <v>55</v>
      </c>
      <c r="F172" s="37" t="s">
        <v>57</v>
      </c>
      <c r="G172" s="24" t="s">
        <v>56</v>
      </c>
      <c r="H172" s="24">
        <v>2</v>
      </c>
      <c r="J172" s="38">
        <v>46197</v>
      </c>
      <c r="K172" s="38">
        <v>46197</v>
      </c>
    </row>
    <row r="173" spans="2:11" ht="18.75" customHeight="1" x14ac:dyDescent="0.25">
      <c r="B173" s="24" t="s">
        <v>95</v>
      </c>
      <c r="C173" s="37" t="s">
        <v>298</v>
      </c>
      <c r="D173" s="37"/>
      <c r="E173" s="37" t="s">
        <v>55</v>
      </c>
      <c r="F173" s="37" t="s">
        <v>57</v>
      </c>
      <c r="G173" s="24" t="s">
        <v>56</v>
      </c>
      <c r="H173" s="24">
        <v>2</v>
      </c>
      <c r="J173" s="38">
        <v>46198</v>
      </c>
      <c r="K173" s="38">
        <v>46198</v>
      </c>
    </row>
    <row r="174" spans="2:11" ht="18.75" customHeight="1" x14ac:dyDescent="0.25">
      <c r="B174" s="24" t="s">
        <v>95</v>
      </c>
      <c r="C174" s="37" t="s">
        <v>299</v>
      </c>
      <c r="D174" s="37"/>
      <c r="E174" s="37" t="s">
        <v>55</v>
      </c>
      <c r="F174" s="37" t="s">
        <v>57</v>
      </c>
      <c r="G174" s="24" t="s">
        <v>56</v>
      </c>
      <c r="H174" s="24">
        <v>2</v>
      </c>
      <c r="J174" s="38">
        <v>46199</v>
      </c>
      <c r="K174" s="38">
        <v>46199</v>
      </c>
    </row>
    <row r="175" spans="2:11" ht="18.75" customHeight="1" x14ac:dyDescent="0.25">
      <c r="B175" s="24" t="s">
        <v>95</v>
      </c>
      <c r="C175" s="37" t="s">
        <v>300</v>
      </c>
      <c r="D175" s="37"/>
      <c r="E175" s="37" t="s">
        <v>55</v>
      </c>
      <c r="F175" s="37" t="s">
        <v>57</v>
      </c>
      <c r="G175" s="24" t="s">
        <v>56</v>
      </c>
      <c r="H175" s="24">
        <v>2</v>
      </c>
      <c r="J175" s="38">
        <v>46202</v>
      </c>
      <c r="K175" s="38">
        <v>46202</v>
      </c>
    </row>
    <row r="176" spans="2:11" ht="18.75" customHeight="1" x14ac:dyDescent="0.25">
      <c r="B176" s="24" t="s">
        <v>95</v>
      </c>
      <c r="C176" s="37" t="s">
        <v>301</v>
      </c>
      <c r="D176" s="37"/>
      <c r="E176" s="37" t="s">
        <v>55</v>
      </c>
      <c r="F176" s="37" t="s">
        <v>57</v>
      </c>
      <c r="G176" s="24" t="s">
        <v>56</v>
      </c>
      <c r="H176" s="24">
        <v>2</v>
      </c>
      <c r="J176" s="38">
        <v>46203</v>
      </c>
      <c r="K176" s="38">
        <v>46203</v>
      </c>
    </row>
    <row r="177" spans="2:11" ht="18.75" customHeight="1" x14ac:dyDescent="0.25">
      <c r="B177" s="24" t="s">
        <v>95</v>
      </c>
      <c r="C177" s="37" t="s">
        <v>302</v>
      </c>
      <c r="D177" s="37"/>
      <c r="E177" s="37" t="s">
        <v>55</v>
      </c>
      <c r="F177" s="37" t="s">
        <v>57</v>
      </c>
      <c r="G177" s="24" t="s">
        <v>56</v>
      </c>
      <c r="H177" s="24">
        <v>2</v>
      </c>
      <c r="J177" s="38">
        <v>46177</v>
      </c>
      <c r="K177" s="38">
        <v>46177</v>
      </c>
    </row>
    <row r="178" spans="2:11" ht="18.75" customHeight="1" x14ac:dyDescent="0.25">
      <c r="B178" s="24" t="s">
        <v>95</v>
      </c>
      <c r="C178" s="37" t="s">
        <v>303</v>
      </c>
      <c r="D178" s="37"/>
      <c r="E178" s="37" t="s">
        <v>55</v>
      </c>
      <c r="F178" s="37" t="s">
        <v>57</v>
      </c>
      <c r="G178" s="24" t="s">
        <v>56</v>
      </c>
      <c r="H178" s="24">
        <v>2</v>
      </c>
      <c r="J178" s="38">
        <v>46178</v>
      </c>
      <c r="K178" s="38">
        <v>46178</v>
      </c>
    </row>
    <row r="179" spans="2:11" ht="18.75" customHeight="1" x14ac:dyDescent="0.25">
      <c r="B179" s="24" t="s">
        <v>95</v>
      </c>
      <c r="C179" s="37" t="s">
        <v>304</v>
      </c>
      <c r="D179" s="37"/>
      <c r="E179" s="37" t="s">
        <v>55</v>
      </c>
      <c r="F179" s="37" t="s">
        <v>57</v>
      </c>
      <c r="G179" s="24" t="s">
        <v>56</v>
      </c>
      <c r="H179" s="24">
        <v>2</v>
      </c>
      <c r="J179" s="38">
        <v>46181</v>
      </c>
      <c r="K179" s="38">
        <v>46181</v>
      </c>
    </row>
    <row r="180" spans="2:11" ht="18.75" customHeight="1" x14ac:dyDescent="0.25">
      <c r="B180" s="24" t="s">
        <v>95</v>
      </c>
      <c r="C180" s="37" t="s">
        <v>305</v>
      </c>
      <c r="D180" s="37"/>
      <c r="E180" s="37" t="s">
        <v>55</v>
      </c>
      <c r="F180" s="37" t="s">
        <v>57</v>
      </c>
      <c r="G180" s="24" t="s">
        <v>56</v>
      </c>
      <c r="H180" s="24">
        <v>2</v>
      </c>
      <c r="J180" s="38">
        <v>46182</v>
      </c>
      <c r="K180" s="38">
        <v>46182</v>
      </c>
    </row>
    <row r="181" spans="2:11" ht="18.75" customHeight="1" x14ac:dyDescent="0.25">
      <c r="B181" s="24" t="s">
        <v>95</v>
      </c>
      <c r="C181" s="37" t="s">
        <v>306</v>
      </c>
      <c r="D181" s="37"/>
      <c r="E181" s="37" t="s">
        <v>55</v>
      </c>
      <c r="F181" s="37" t="s">
        <v>57</v>
      </c>
      <c r="G181" s="24" t="s">
        <v>56</v>
      </c>
      <c r="H181" s="24">
        <v>2</v>
      </c>
      <c r="J181" s="38">
        <v>46183</v>
      </c>
      <c r="K181" s="38">
        <v>46183</v>
      </c>
    </row>
    <row r="182" spans="2:11" ht="18.75" customHeight="1" x14ac:dyDescent="0.25">
      <c r="B182" s="24" t="s">
        <v>95</v>
      </c>
      <c r="C182" s="37" t="s">
        <v>307</v>
      </c>
      <c r="D182" s="37"/>
      <c r="E182" s="37" t="s">
        <v>55</v>
      </c>
      <c r="F182" s="37" t="s">
        <v>57</v>
      </c>
      <c r="G182" s="24" t="s">
        <v>56</v>
      </c>
      <c r="H182" s="24">
        <v>2</v>
      </c>
      <c r="J182" s="38">
        <v>46184</v>
      </c>
      <c r="K182" s="38">
        <v>46184</v>
      </c>
    </row>
    <row r="183" spans="2:11" ht="18.75" customHeight="1" x14ac:dyDescent="0.25">
      <c r="B183" s="24" t="s">
        <v>95</v>
      </c>
      <c r="C183" s="37" t="s">
        <v>308</v>
      </c>
      <c r="D183" s="37"/>
      <c r="E183" s="37" t="s">
        <v>55</v>
      </c>
      <c r="F183" s="37" t="s">
        <v>57</v>
      </c>
      <c r="G183" s="24" t="s">
        <v>56</v>
      </c>
      <c r="H183" s="24">
        <v>2</v>
      </c>
      <c r="J183" s="38">
        <v>46185</v>
      </c>
      <c r="K183" s="38">
        <v>46185</v>
      </c>
    </row>
    <row r="184" spans="2:11" ht="18.75" customHeight="1" x14ac:dyDescent="0.25">
      <c r="B184" s="24" t="s">
        <v>95</v>
      </c>
      <c r="C184" s="37" t="s">
        <v>309</v>
      </c>
      <c r="D184" s="37"/>
      <c r="E184" s="37" t="s">
        <v>55</v>
      </c>
      <c r="F184" s="37" t="s">
        <v>57</v>
      </c>
      <c r="G184" s="24" t="s">
        <v>56</v>
      </c>
      <c r="H184" s="24">
        <v>2</v>
      </c>
      <c r="J184" s="38">
        <v>46188</v>
      </c>
      <c r="K184" s="38">
        <v>46188</v>
      </c>
    </row>
    <row r="185" spans="2:11" ht="18.75" customHeight="1" x14ac:dyDescent="0.25">
      <c r="B185" s="24" t="s">
        <v>95</v>
      </c>
      <c r="C185" s="37" t="s">
        <v>310</v>
      </c>
      <c r="D185" s="37"/>
      <c r="E185" s="37" t="s">
        <v>55</v>
      </c>
      <c r="F185" s="37" t="s">
        <v>57</v>
      </c>
      <c r="G185" s="24" t="s">
        <v>56</v>
      </c>
      <c r="H185" s="24">
        <v>2</v>
      </c>
      <c r="J185" s="38">
        <v>46189</v>
      </c>
      <c r="K185" s="38">
        <v>46189</v>
      </c>
    </row>
    <row r="186" spans="2:11" ht="18.75" customHeight="1" x14ac:dyDescent="0.25">
      <c r="B186" s="24" t="s">
        <v>95</v>
      </c>
      <c r="C186" s="37" t="s">
        <v>311</v>
      </c>
      <c r="D186" s="37"/>
      <c r="E186" s="37" t="s">
        <v>55</v>
      </c>
      <c r="F186" s="37" t="s">
        <v>57</v>
      </c>
      <c r="G186" s="24" t="s">
        <v>56</v>
      </c>
      <c r="H186" s="24">
        <v>2</v>
      </c>
      <c r="J186" s="38">
        <v>46190</v>
      </c>
      <c r="K186" s="38">
        <v>46190</v>
      </c>
    </row>
    <row r="187" spans="2:11" ht="18.75" customHeight="1" x14ac:dyDescent="0.25">
      <c r="B187" s="24" t="s">
        <v>95</v>
      </c>
      <c r="C187" s="37" t="s">
        <v>312</v>
      </c>
      <c r="D187" s="37"/>
      <c r="E187" s="37" t="s">
        <v>55</v>
      </c>
      <c r="F187" s="37" t="s">
        <v>57</v>
      </c>
      <c r="G187" s="24" t="s">
        <v>56</v>
      </c>
      <c r="H187" s="24">
        <v>2</v>
      </c>
      <c r="J187" s="38">
        <v>46191</v>
      </c>
      <c r="K187" s="38">
        <v>46191</v>
      </c>
    </row>
    <row r="188" spans="2:11" ht="18.75" customHeight="1" x14ac:dyDescent="0.25">
      <c r="B188" s="24" t="s">
        <v>95</v>
      </c>
      <c r="C188" s="37" t="s">
        <v>313</v>
      </c>
      <c r="D188" s="37"/>
      <c r="E188" s="37" t="s">
        <v>55</v>
      </c>
      <c r="F188" s="37" t="s">
        <v>57</v>
      </c>
      <c r="G188" s="24" t="s">
        <v>56</v>
      </c>
      <c r="H188" s="24">
        <v>2</v>
      </c>
      <c r="J188" s="38">
        <v>46192</v>
      </c>
      <c r="K188" s="38">
        <v>46192</v>
      </c>
    </row>
    <row r="189" spans="2:11" ht="18.75" customHeight="1" x14ac:dyDescent="0.25">
      <c r="B189" s="24" t="s">
        <v>95</v>
      </c>
      <c r="C189" s="37" t="s">
        <v>314</v>
      </c>
      <c r="D189" s="37"/>
      <c r="E189" s="37" t="s">
        <v>55</v>
      </c>
      <c r="F189" s="37" t="s">
        <v>57</v>
      </c>
      <c r="G189" s="24" t="s">
        <v>56</v>
      </c>
      <c r="H189" s="24">
        <v>2</v>
      </c>
      <c r="J189" s="38">
        <v>46195</v>
      </c>
      <c r="K189" s="38">
        <v>46195</v>
      </c>
    </row>
    <row r="190" spans="2:11" ht="18.75" customHeight="1" x14ac:dyDescent="0.25">
      <c r="B190" s="24" t="s">
        <v>95</v>
      </c>
      <c r="C190" s="37" t="s">
        <v>315</v>
      </c>
      <c r="D190" s="37"/>
      <c r="E190" s="37" t="s">
        <v>55</v>
      </c>
      <c r="F190" s="37" t="s">
        <v>57</v>
      </c>
      <c r="G190" s="24" t="s">
        <v>56</v>
      </c>
      <c r="H190" s="24">
        <v>2</v>
      </c>
      <c r="J190" s="38">
        <v>46196</v>
      </c>
      <c r="K190" s="38">
        <v>46196</v>
      </c>
    </row>
    <row r="191" spans="2:11" ht="18.75" customHeight="1" x14ac:dyDescent="0.25">
      <c r="B191" s="24" t="s">
        <v>95</v>
      </c>
      <c r="C191" s="37" t="s">
        <v>316</v>
      </c>
      <c r="D191" s="37"/>
      <c r="E191" s="37" t="s">
        <v>55</v>
      </c>
      <c r="F191" s="37" t="s">
        <v>57</v>
      </c>
      <c r="G191" s="24" t="s">
        <v>56</v>
      </c>
      <c r="H191" s="24">
        <v>2</v>
      </c>
      <c r="J191" s="38">
        <v>46197</v>
      </c>
      <c r="K191" s="38">
        <v>46197</v>
      </c>
    </row>
    <row r="192" spans="2:11" ht="18.75" customHeight="1" x14ac:dyDescent="0.25">
      <c r="B192" s="24" t="s">
        <v>95</v>
      </c>
      <c r="C192" s="37" t="s">
        <v>317</v>
      </c>
      <c r="D192" s="37"/>
      <c r="E192" s="37" t="s">
        <v>55</v>
      </c>
      <c r="F192" s="37" t="s">
        <v>57</v>
      </c>
      <c r="G192" s="24" t="s">
        <v>56</v>
      </c>
      <c r="H192" s="24">
        <v>2</v>
      </c>
      <c r="J192" s="38">
        <v>46198</v>
      </c>
      <c r="K192" s="38">
        <v>46198</v>
      </c>
    </row>
    <row r="193" spans="2:11" ht="18.75" customHeight="1" x14ac:dyDescent="0.25">
      <c r="B193" s="24" t="s">
        <v>95</v>
      </c>
      <c r="C193" s="37" t="s">
        <v>318</v>
      </c>
      <c r="D193" s="37"/>
      <c r="E193" s="37" t="s">
        <v>55</v>
      </c>
      <c r="F193" s="37" t="s">
        <v>57</v>
      </c>
      <c r="G193" s="24" t="s">
        <v>56</v>
      </c>
      <c r="H193" s="24">
        <v>2</v>
      </c>
      <c r="J193" s="38">
        <v>46199</v>
      </c>
      <c r="K193" s="38">
        <v>46199</v>
      </c>
    </row>
    <row r="194" spans="2:11" ht="18.75" customHeight="1" x14ac:dyDescent="0.25">
      <c r="B194" s="24" t="s">
        <v>95</v>
      </c>
      <c r="C194" s="37" t="s">
        <v>319</v>
      </c>
      <c r="D194" s="37"/>
      <c r="E194" s="37" t="s">
        <v>55</v>
      </c>
      <c r="F194" s="37" t="s">
        <v>57</v>
      </c>
      <c r="G194" s="24" t="s">
        <v>56</v>
      </c>
      <c r="H194" s="24">
        <v>2</v>
      </c>
      <c r="J194" s="38">
        <v>46202</v>
      </c>
      <c r="K194" s="38">
        <v>46202</v>
      </c>
    </row>
    <row r="195" spans="2:11" ht="18.75" customHeight="1" x14ac:dyDescent="0.25">
      <c r="B195" s="24" t="s">
        <v>95</v>
      </c>
      <c r="C195" s="37" t="s">
        <v>320</v>
      </c>
      <c r="D195" s="37"/>
      <c r="E195" s="37" t="s">
        <v>55</v>
      </c>
      <c r="F195" s="37" t="s">
        <v>57</v>
      </c>
      <c r="G195" s="24" t="s">
        <v>56</v>
      </c>
      <c r="H195" s="24">
        <v>2</v>
      </c>
      <c r="J195" s="38">
        <v>46203</v>
      </c>
      <c r="K195" s="38">
        <v>46203</v>
      </c>
    </row>
    <row r="196" spans="2:11" ht="18.75" customHeight="1" x14ac:dyDescent="0.25">
      <c r="B196" s="24" t="s">
        <v>95</v>
      </c>
      <c r="C196" s="37" t="s">
        <v>321</v>
      </c>
      <c r="D196" s="37"/>
      <c r="E196" s="37" t="s">
        <v>55</v>
      </c>
      <c r="F196" s="37" t="s">
        <v>57</v>
      </c>
      <c r="G196" s="24" t="s">
        <v>56</v>
      </c>
      <c r="H196" s="24">
        <v>2</v>
      </c>
      <c r="J196" s="38">
        <v>46177</v>
      </c>
      <c r="K196" s="38">
        <v>46177</v>
      </c>
    </row>
    <row r="197" spans="2:11" ht="18.75" customHeight="1" x14ac:dyDescent="0.25">
      <c r="B197" s="24" t="s">
        <v>95</v>
      </c>
      <c r="C197" s="37" t="s">
        <v>322</v>
      </c>
      <c r="D197" s="37"/>
      <c r="E197" s="37" t="s">
        <v>55</v>
      </c>
      <c r="F197" s="37" t="s">
        <v>57</v>
      </c>
      <c r="G197" s="24" t="s">
        <v>56</v>
      </c>
      <c r="H197" s="24">
        <v>2</v>
      </c>
      <c r="J197" s="38">
        <v>46178</v>
      </c>
      <c r="K197" s="38">
        <v>46178</v>
      </c>
    </row>
    <row r="198" spans="2:11" ht="18.75" customHeight="1" x14ac:dyDescent="0.25">
      <c r="B198" s="24" t="s">
        <v>95</v>
      </c>
      <c r="C198" s="37" t="s">
        <v>323</v>
      </c>
      <c r="D198" s="37"/>
      <c r="E198" s="37" t="s">
        <v>55</v>
      </c>
      <c r="F198" s="37" t="s">
        <v>57</v>
      </c>
      <c r="G198" s="24" t="s">
        <v>56</v>
      </c>
      <c r="H198" s="24">
        <v>2</v>
      </c>
      <c r="J198" s="38">
        <v>46181</v>
      </c>
      <c r="K198" s="38">
        <v>46181</v>
      </c>
    </row>
    <row r="199" spans="2:11" ht="18.75" customHeight="1" x14ac:dyDescent="0.25">
      <c r="B199" s="24" t="s">
        <v>95</v>
      </c>
      <c r="C199" s="37" t="s">
        <v>324</v>
      </c>
      <c r="D199" s="37"/>
      <c r="E199" s="37" t="s">
        <v>55</v>
      </c>
      <c r="F199" s="37" t="s">
        <v>57</v>
      </c>
      <c r="G199" s="24" t="s">
        <v>56</v>
      </c>
      <c r="H199" s="24">
        <v>2</v>
      </c>
      <c r="J199" s="38">
        <v>46182</v>
      </c>
      <c r="K199" s="38">
        <v>46182</v>
      </c>
    </row>
    <row r="200" spans="2:11" ht="18.75" customHeight="1" x14ac:dyDescent="0.25">
      <c r="B200" s="24" t="s">
        <v>95</v>
      </c>
      <c r="C200" s="37" t="s">
        <v>325</v>
      </c>
      <c r="D200" s="37"/>
      <c r="E200" s="37" t="s">
        <v>55</v>
      </c>
      <c r="F200" s="37" t="s">
        <v>57</v>
      </c>
      <c r="G200" s="24" t="s">
        <v>56</v>
      </c>
      <c r="H200" s="24">
        <v>2</v>
      </c>
      <c r="J200" s="38">
        <v>46183</v>
      </c>
      <c r="K200" s="38">
        <v>46183</v>
      </c>
    </row>
    <row r="201" spans="2:11" ht="18.75" customHeight="1" x14ac:dyDescent="0.25">
      <c r="B201" s="24" t="s">
        <v>95</v>
      </c>
      <c r="C201" s="37" t="s">
        <v>326</v>
      </c>
      <c r="D201" s="37"/>
      <c r="E201" s="37" t="s">
        <v>55</v>
      </c>
      <c r="F201" s="37" t="s">
        <v>57</v>
      </c>
      <c r="G201" s="24" t="s">
        <v>56</v>
      </c>
      <c r="H201" s="24">
        <v>2</v>
      </c>
      <c r="J201" s="38">
        <v>46184</v>
      </c>
      <c r="K201" s="38">
        <v>46184</v>
      </c>
    </row>
    <row r="202" spans="2:11" ht="18.75" customHeight="1" x14ac:dyDescent="0.25">
      <c r="B202" s="24" t="s">
        <v>95</v>
      </c>
      <c r="C202" s="37" t="s">
        <v>327</v>
      </c>
      <c r="D202" s="37"/>
      <c r="E202" s="37" t="s">
        <v>55</v>
      </c>
      <c r="F202" s="37" t="s">
        <v>57</v>
      </c>
      <c r="G202" s="24" t="s">
        <v>56</v>
      </c>
      <c r="H202" s="24">
        <v>2</v>
      </c>
      <c r="J202" s="38">
        <v>46185</v>
      </c>
      <c r="K202" s="38">
        <v>46185</v>
      </c>
    </row>
    <row r="203" spans="2:11" ht="18.75" customHeight="1" x14ac:dyDescent="0.25">
      <c r="B203" s="24" t="s">
        <v>95</v>
      </c>
      <c r="C203" s="37" t="s">
        <v>328</v>
      </c>
      <c r="D203" s="37"/>
      <c r="E203" s="37" t="s">
        <v>55</v>
      </c>
      <c r="F203" s="37" t="s">
        <v>57</v>
      </c>
      <c r="G203" s="24" t="s">
        <v>56</v>
      </c>
      <c r="H203" s="24">
        <v>2</v>
      </c>
      <c r="J203" s="38">
        <v>46188</v>
      </c>
      <c r="K203" s="38">
        <v>46188</v>
      </c>
    </row>
    <row r="204" spans="2:11" ht="18.75" customHeight="1" x14ac:dyDescent="0.25">
      <c r="B204" s="24" t="s">
        <v>95</v>
      </c>
      <c r="C204" s="37" t="s">
        <v>329</v>
      </c>
      <c r="D204" s="37"/>
      <c r="E204" s="37" t="s">
        <v>55</v>
      </c>
      <c r="F204" s="37" t="s">
        <v>57</v>
      </c>
      <c r="G204" s="24" t="s">
        <v>56</v>
      </c>
      <c r="H204" s="24">
        <v>2</v>
      </c>
      <c r="J204" s="38">
        <v>46189</v>
      </c>
      <c r="K204" s="38">
        <v>46189</v>
      </c>
    </row>
    <row r="205" spans="2:11" ht="18.75" customHeight="1" x14ac:dyDescent="0.25">
      <c r="B205" s="24" t="s">
        <v>95</v>
      </c>
      <c r="C205" s="37" t="s">
        <v>330</v>
      </c>
      <c r="D205" s="37"/>
      <c r="E205" s="37" t="s">
        <v>55</v>
      </c>
      <c r="F205" s="37" t="s">
        <v>57</v>
      </c>
      <c r="G205" s="24" t="s">
        <v>56</v>
      </c>
      <c r="H205" s="24">
        <v>2</v>
      </c>
      <c r="J205" s="38">
        <v>46190</v>
      </c>
      <c r="K205" s="38">
        <v>46190</v>
      </c>
    </row>
    <row r="206" spans="2:11" ht="18.75" customHeight="1" x14ac:dyDescent="0.25">
      <c r="B206" s="24" t="s">
        <v>95</v>
      </c>
      <c r="C206" s="37" t="s">
        <v>331</v>
      </c>
      <c r="D206" s="37"/>
      <c r="E206" s="37" t="s">
        <v>55</v>
      </c>
      <c r="F206" s="37" t="s">
        <v>57</v>
      </c>
      <c r="G206" s="24" t="s">
        <v>56</v>
      </c>
      <c r="H206" s="24">
        <v>2</v>
      </c>
      <c r="J206" s="38">
        <v>46191</v>
      </c>
      <c r="K206" s="38">
        <v>46191</v>
      </c>
    </row>
    <row r="207" spans="2:11" ht="18.75" customHeight="1" x14ac:dyDescent="0.25">
      <c r="B207" s="24" t="s">
        <v>95</v>
      </c>
      <c r="C207" s="37" t="s">
        <v>332</v>
      </c>
      <c r="D207" s="37"/>
      <c r="E207" s="37" t="s">
        <v>55</v>
      </c>
      <c r="F207" s="37" t="s">
        <v>57</v>
      </c>
      <c r="G207" s="24" t="s">
        <v>56</v>
      </c>
      <c r="H207" s="24">
        <v>2</v>
      </c>
      <c r="J207" s="38">
        <v>46192</v>
      </c>
      <c r="K207" s="38">
        <v>46192</v>
      </c>
    </row>
    <row r="208" spans="2:11" ht="18.75" customHeight="1" x14ac:dyDescent="0.25">
      <c r="B208" s="24" t="s">
        <v>95</v>
      </c>
      <c r="C208" s="37" t="s">
        <v>333</v>
      </c>
      <c r="D208" s="37"/>
      <c r="E208" s="37" t="s">
        <v>55</v>
      </c>
      <c r="F208" s="37" t="s">
        <v>57</v>
      </c>
      <c r="G208" s="24" t="s">
        <v>56</v>
      </c>
      <c r="H208" s="24">
        <v>2</v>
      </c>
      <c r="J208" s="38">
        <v>46195</v>
      </c>
      <c r="K208" s="38">
        <v>46195</v>
      </c>
    </row>
    <row r="209" spans="2:11" ht="18.75" customHeight="1" x14ac:dyDescent="0.25">
      <c r="B209" s="24" t="s">
        <v>95</v>
      </c>
      <c r="C209" s="37" t="s">
        <v>334</v>
      </c>
      <c r="D209" s="37"/>
      <c r="E209" s="37" t="s">
        <v>55</v>
      </c>
      <c r="F209" s="37" t="s">
        <v>57</v>
      </c>
      <c r="G209" s="24" t="s">
        <v>56</v>
      </c>
      <c r="H209" s="24">
        <v>2</v>
      </c>
      <c r="J209" s="38">
        <v>46196</v>
      </c>
      <c r="K209" s="38">
        <v>46196</v>
      </c>
    </row>
    <row r="210" spans="2:11" ht="18.75" customHeight="1" x14ac:dyDescent="0.25">
      <c r="B210" s="24" t="s">
        <v>95</v>
      </c>
      <c r="C210" s="37" t="s">
        <v>335</v>
      </c>
      <c r="D210" s="37"/>
      <c r="E210" s="37" t="s">
        <v>55</v>
      </c>
      <c r="F210" s="37" t="s">
        <v>57</v>
      </c>
      <c r="G210" s="24" t="s">
        <v>56</v>
      </c>
      <c r="H210" s="24">
        <v>2</v>
      </c>
      <c r="J210" s="38">
        <v>46197</v>
      </c>
      <c r="K210" s="38">
        <v>46197</v>
      </c>
    </row>
    <row r="211" spans="2:11" ht="18.75" customHeight="1" x14ac:dyDescent="0.25">
      <c r="B211" s="24" t="s">
        <v>95</v>
      </c>
      <c r="C211" s="37" t="s">
        <v>336</v>
      </c>
      <c r="D211" s="37"/>
      <c r="E211" s="37" t="s">
        <v>55</v>
      </c>
      <c r="F211" s="37" t="s">
        <v>57</v>
      </c>
      <c r="G211" s="24" t="s">
        <v>56</v>
      </c>
      <c r="H211" s="24">
        <v>2</v>
      </c>
      <c r="J211" s="38">
        <v>46198</v>
      </c>
      <c r="K211" s="38">
        <v>46198</v>
      </c>
    </row>
    <row r="212" spans="2:11" ht="18.75" customHeight="1" x14ac:dyDescent="0.25">
      <c r="B212" s="24" t="s">
        <v>95</v>
      </c>
      <c r="C212" s="37" t="s">
        <v>337</v>
      </c>
      <c r="D212" s="37"/>
      <c r="E212" s="37" t="s">
        <v>55</v>
      </c>
      <c r="F212" s="37" t="s">
        <v>57</v>
      </c>
      <c r="G212" s="24" t="s">
        <v>56</v>
      </c>
      <c r="H212" s="24">
        <v>2</v>
      </c>
      <c r="J212" s="38">
        <v>46199</v>
      </c>
      <c r="K212" s="38">
        <v>46199</v>
      </c>
    </row>
    <row r="213" spans="2:11" ht="18.75" customHeight="1" x14ac:dyDescent="0.25">
      <c r="B213" s="24" t="s">
        <v>95</v>
      </c>
      <c r="C213" s="37" t="s">
        <v>338</v>
      </c>
      <c r="D213" s="37"/>
      <c r="E213" s="37" t="s">
        <v>55</v>
      </c>
      <c r="F213" s="37" t="s">
        <v>57</v>
      </c>
      <c r="G213" s="24" t="s">
        <v>56</v>
      </c>
      <c r="H213" s="24">
        <v>2</v>
      </c>
      <c r="J213" s="38">
        <v>46202</v>
      </c>
      <c r="K213" s="38">
        <v>46202</v>
      </c>
    </row>
    <row r="214" spans="2:11" ht="18.75" customHeight="1" x14ac:dyDescent="0.25">
      <c r="B214" s="24" t="s">
        <v>95</v>
      </c>
      <c r="C214" s="37" t="s">
        <v>339</v>
      </c>
      <c r="D214" s="37"/>
      <c r="E214" s="37" t="s">
        <v>55</v>
      </c>
      <c r="F214" s="37" t="s">
        <v>57</v>
      </c>
      <c r="G214" s="24" t="s">
        <v>56</v>
      </c>
      <c r="H214" s="24">
        <v>2</v>
      </c>
      <c r="J214" s="38">
        <v>46203</v>
      </c>
      <c r="K214" s="38">
        <v>46203</v>
      </c>
    </row>
    <row r="215" spans="2:11" ht="18.75" customHeight="1" x14ac:dyDescent="0.25">
      <c r="B215" s="24" t="s">
        <v>95</v>
      </c>
      <c r="C215" s="37" t="s">
        <v>340</v>
      </c>
      <c r="D215" s="37"/>
      <c r="E215" s="37" t="s">
        <v>55</v>
      </c>
      <c r="F215" s="37" t="s">
        <v>57</v>
      </c>
      <c r="G215" s="24" t="s">
        <v>56</v>
      </c>
      <c r="H215" s="24">
        <v>8</v>
      </c>
      <c r="J215" s="38">
        <v>46177</v>
      </c>
      <c r="K215" s="38">
        <v>46177</v>
      </c>
    </row>
    <row r="216" spans="2:11" ht="18.75" customHeight="1" x14ac:dyDescent="0.25">
      <c r="B216" s="24" t="s">
        <v>95</v>
      </c>
      <c r="C216" s="37" t="s">
        <v>341</v>
      </c>
      <c r="D216" s="37"/>
      <c r="E216" s="37" t="s">
        <v>55</v>
      </c>
      <c r="F216" s="37" t="s">
        <v>57</v>
      </c>
      <c r="G216" s="24" t="s">
        <v>56</v>
      </c>
      <c r="H216" s="24">
        <v>8</v>
      </c>
      <c r="J216" s="38">
        <v>46178</v>
      </c>
      <c r="K216" s="38">
        <v>46178</v>
      </c>
    </row>
    <row r="217" spans="2:11" ht="18.75" customHeight="1" x14ac:dyDescent="0.25">
      <c r="B217" s="24" t="s">
        <v>95</v>
      </c>
      <c r="C217" s="37" t="s">
        <v>342</v>
      </c>
      <c r="D217" s="37"/>
      <c r="E217" s="37" t="s">
        <v>55</v>
      </c>
      <c r="F217" s="37" t="s">
        <v>57</v>
      </c>
      <c r="G217" s="24" t="s">
        <v>56</v>
      </c>
      <c r="H217" s="24">
        <v>8</v>
      </c>
      <c r="J217" s="38">
        <v>46181</v>
      </c>
      <c r="K217" s="38">
        <v>46181</v>
      </c>
    </row>
    <row r="218" spans="2:11" ht="18.75" customHeight="1" x14ac:dyDescent="0.25">
      <c r="B218" s="24" t="s">
        <v>95</v>
      </c>
      <c r="C218" s="37" t="s">
        <v>343</v>
      </c>
      <c r="D218" s="37"/>
      <c r="E218" s="37" t="s">
        <v>55</v>
      </c>
      <c r="F218" s="37" t="s">
        <v>57</v>
      </c>
      <c r="G218" s="24" t="s">
        <v>56</v>
      </c>
      <c r="H218" s="24">
        <v>8</v>
      </c>
      <c r="J218" s="38">
        <v>46182</v>
      </c>
      <c r="K218" s="38">
        <v>46182</v>
      </c>
    </row>
    <row r="219" spans="2:11" ht="18.75" customHeight="1" x14ac:dyDescent="0.25">
      <c r="B219" s="24" t="s">
        <v>95</v>
      </c>
      <c r="C219" s="37" t="s">
        <v>344</v>
      </c>
      <c r="D219" s="37"/>
      <c r="E219" s="37" t="s">
        <v>55</v>
      </c>
      <c r="F219" s="37" t="s">
        <v>57</v>
      </c>
      <c r="G219" s="24" t="s">
        <v>56</v>
      </c>
      <c r="H219" s="24">
        <v>8</v>
      </c>
      <c r="J219" s="38">
        <v>46183</v>
      </c>
      <c r="K219" s="38">
        <v>46183</v>
      </c>
    </row>
    <row r="220" spans="2:11" ht="18.75" customHeight="1" x14ac:dyDescent="0.25">
      <c r="B220" s="24" t="s">
        <v>95</v>
      </c>
      <c r="C220" s="37" t="s">
        <v>345</v>
      </c>
      <c r="D220" s="37"/>
      <c r="E220" s="37" t="s">
        <v>55</v>
      </c>
      <c r="F220" s="37" t="s">
        <v>57</v>
      </c>
      <c r="G220" s="24" t="s">
        <v>56</v>
      </c>
      <c r="H220" s="24">
        <v>8</v>
      </c>
      <c r="J220" s="38">
        <v>46184</v>
      </c>
      <c r="K220" s="38">
        <v>46184</v>
      </c>
    </row>
    <row r="221" spans="2:11" ht="18.75" customHeight="1" x14ac:dyDescent="0.25">
      <c r="B221" s="24" t="s">
        <v>95</v>
      </c>
      <c r="C221" s="37" t="s">
        <v>346</v>
      </c>
      <c r="D221" s="37"/>
      <c r="E221" s="37" t="s">
        <v>55</v>
      </c>
      <c r="F221" s="37" t="s">
        <v>57</v>
      </c>
      <c r="G221" s="24" t="s">
        <v>56</v>
      </c>
      <c r="H221" s="24">
        <v>8</v>
      </c>
      <c r="J221" s="38">
        <v>46185</v>
      </c>
      <c r="K221" s="38">
        <v>46185</v>
      </c>
    </row>
    <row r="222" spans="2:11" ht="18.75" customHeight="1" x14ac:dyDescent="0.25">
      <c r="B222" s="24" t="s">
        <v>95</v>
      </c>
      <c r="C222" s="37" t="s">
        <v>347</v>
      </c>
      <c r="D222" s="37"/>
      <c r="E222" s="37" t="s">
        <v>55</v>
      </c>
      <c r="F222" s="37" t="s">
        <v>57</v>
      </c>
      <c r="G222" s="24" t="s">
        <v>56</v>
      </c>
      <c r="H222" s="24">
        <v>8</v>
      </c>
      <c r="J222" s="38">
        <v>46188</v>
      </c>
      <c r="K222" s="38">
        <v>46188</v>
      </c>
    </row>
    <row r="223" spans="2:11" ht="18.75" customHeight="1" x14ac:dyDescent="0.25">
      <c r="B223" s="24" t="s">
        <v>95</v>
      </c>
      <c r="C223" s="37" t="s">
        <v>348</v>
      </c>
      <c r="D223" s="37"/>
      <c r="E223" s="37" t="s">
        <v>55</v>
      </c>
      <c r="F223" s="37" t="s">
        <v>57</v>
      </c>
      <c r="G223" s="24" t="s">
        <v>56</v>
      </c>
      <c r="H223" s="24">
        <v>8</v>
      </c>
      <c r="J223" s="38">
        <v>46189</v>
      </c>
      <c r="K223" s="38">
        <v>46189</v>
      </c>
    </row>
    <row r="224" spans="2:11" ht="18.75" customHeight="1" x14ac:dyDescent="0.25">
      <c r="B224" s="24" t="s">
        <v>95</v>
      </c>
      <c r="C224" s="37" t="s">
        <v>349</v>
      </c>
      <c r="D224" s="37"/>
      <c r="E224" s="37" t="s">
        <v>55</v>
      </c>
      <c r="F224" s="37" t="s">
        <v>57</v>
      </c>
      <c r="G224" s="24" t="s">
        <v>56</v>
      </c>
      <c r="H224" s="24">
        <v>8</v>
      </c>
      <c r="J224" s="38">
        <v>46190</v>
      </c>
      <c r="K224" s="38">
        <v>46190</v>
      </c>
    </row>
    <row r="225" spans="2:11" ht="18.75" customHeight="1" x14ac:dyDescent="0.25">
      <c r="B225" s="24" t="s">
        <v>95</v>
      </c>
      <c r="C225" s="37" t="s">
        <v>350</v>
      </c>
      <c r="D225" s="37"/>
      <c r="E225" s="37" t="s">
        <v>55</v>
      </c>
      <c r="F225" s="37" t="s">
        <v>57</v>
      </c>
      <c r="G225" s="24" t="s">
        <v>56</v>
      </c>
      <c r="H225" s="24">
        <v>8</v>
      </c>
      <c r="J225" s="38">
        <v>46191</v>
      </c>
      <c r="K225" s="38">
        <v>46191</v>
      </c>
    </row>
    <row r="226" spans="2:11" ht="18.75" customHeight="1" x14ac:dyDescent="0.25">
      <c r="B226" s="24" t="s">
        <v>95</v>
      </c>
      <c r="C226" s="37" t="s">
        <v>351</v>
      </c>
      <c r="D226" s="37"/>
      <c r="E226" s="37" t="s">
        <v>55</v>
      </c>
      <c r="F226" s="37" t="s">
        <v>57</v>
      </c>
      <c r="G226" s="24" t="s">
        <v>56</v>
      </c>
      <c r="H226" s="24">
        <v>8</v>
      </c>
      <c r="J226" s="38">
        <v>46192</v>
      </c>
      <c r="K226" s="38">
        <v>46192</v>
      </c>
    </row>
    <row r="227" spans="2:11" ht="18.75" customHeight="1" x14ac:dyDescent="0.25">
      <c r="B227" s="24" t="s">
        <v>95</v>
      </c>
      <c r="C227" s="37" t="s">
        <v>352</v>
      </c>
      <c r="D227" s="37"/>
      <c r="E227" s="37" t="s">
        <v>55</v>
      </c>
      <c r="F227" s="37" t="s">
        <v>57</v>
      </c>
      <c r="G227" s="24" t="s">
        <v>56</v>
      </c>
      <c r="H227" s="24">
        <v>8</v>
      </c>
      <c r="J227" s="38">
        <v>46195</v>
      </c>
      <c r="K227" s="38">
        <v>46195</v>
      </c>
    </row>
    <row r="228" spans="2:11" ht="18.75" customHeight="1" x14ac:dyDescent="0.25">
      <c r="B228" s="24" t="s">
        <v>95</v>
      </c>
      <c r="C228" s="37" t="s">
        <v>353</v>
      </c>
      <c r="D228" s="37"/>
      <c r="E228" s="37" t="s">
        <v>55</v>
      </c>
      <c r="F228" s="37" t="s">
        <v>57</v>
      </c>
      <c r="G228" s="24" t="s">
        <v>56</v>
      </c>
      <c r="H228" s="24">
        <v>8</v>
      </c>
      <c r="J228" s="38">
        <v>46196</v>
      </c>
      <c r="K228" s="38">
        <v>46196</v>
      </c>
    </row>
    <row r="229" spans="2:11" ht="18.75" customHeight="1" x14ac:dyDescent="0.25">
      <c r="B229" s="24" t="s">
        <v>95</v>
      </c>
      <c r="C229" s="37" t="s">
        <v>354</v>
      </c>
      <c r="D229" s="37"/>
      <c r="E229" s="37" t="s">
        <v>55</v>
      </c>
      <c r="F229" s="37" t="s">
        <v>57</v>
      </c>
      <c r="G229" s="24" t="s">
        <v>56</v>
      </c>
      <c r="H229" s="24">
        <v>8</v>
      </c>
      <c r="J229" s="38">
        <v>46197</v>
      </c>
      <c r="K229" s="38">
        <v>46197</v>
      </c>
    </row>
    <row r="230" spans="2:11" ht="18.75" customHeight="1" x14ac:dyDescent="0.25">
      <c r="B230" s="24" t="s">
        <v>95</v>
      </c>
      <c r="C230" s="37" t="s">
        <v>355</v>
      </c>
      <c r="D230" s="37"/>
      <c r="E230" s="37" t="s">
        <v>55</v>
      </c>
      <c r="F230" s="37" t="s">
        <v>57</v>
      </c>
      <c r="G230" s="24" t="s">
        <v>56</v>
      </c>
      <c r="H230" s="24">
        <v>8</v>
      </c>
      <c r="J230" s="38">
        <v>46198</v>
      </c>
      <c r="K230" s="38">
        <v>46198</v>
      </c>
    </row>
    <row r="231" spans="2:11" ht="18.75" customHeight="1" x14ac:dyDescent="0.25">
      <c r="B231" s="24" t="s">
        <v>95</v>
      </c>
      <c r="C231" s="37" t="s">
        <v>356</v>
      </c>
      <c r="D231" s="37"/>
      <c r="E231" s="37" t="s">
        <v>55</v>
      </c>
      <c r="F231" s="37" t="s">
        <v>57</v>
      </c>
      <c r="G231" s="24" t="s">
        <v>56</v>
      </c>
      <c r="H231" s="24">
        <v>8</v>
      </c>
      <c r="J231" s="38">
        <v>46199</v>
      </c>
      <c r="K231" s="38">
        <v>46199</v>
      </c>
    </row>
    <row r="232" spans="2:11" ht="18.75" customHeight="1" x14ac:dyDescent="0.25">
      <c r="B232" s="24" t="s">
        <v>95</v>
      </c>
      <c r="C232" s="37" t="s">
        <v>357</v>
      </c>
      <c r="D232" s="37"/>
      <c r="E232" s="37" t="s">
        <v>55</v>
      </c>
      <c r="F232" s="37" t="s">
        <v>57</v>
      </c>
      <c r="G232" s="24" t="s">
        <v>56</v>
      </c>
      <c r="H232" s="24">
        <v>8</v>
      </c>
      <c r="J232" s="38">
        <v>46202</v>
      </c>
      <c r="K232" s="38">
        <v>46202</v>
      </c>
    </row>
    <row r="233" spans="2:11" ht="18.75" customHeight="1" x14ac:dyDescent="0.25">
      <c r="B233" s="24" t="s">
        <v>95</v>
      </c>
      <c r="C233" s="37" t="s">
        <v>358</v>
      </c>
      <c r="D233" s="37"/>
      <c r="E233" s="37" t="s">
        <v>55</v>
      </c>
      <c r="F233" s="37" t="s">
        <v>57</v>
      </c>
      <c r="G233" s="24" t="s">
        <v>56</v>
      </c>
      <c r="H233" s="24">
        <v>8</v>
      </c>
      <c r="J233" s="38">
        <v>46203</v>
      </c>
      <c r="K233" s="38">
        <v>46203</v>
      </c>
    </row>
    <row r="234" spans="2:11" ht="18.75" customHeight="1" x14ac:dyDescent="0.25">
      <c r="B234" s="24" t="s">
        <v>95</v>
      </c>
      <c r="C234" s="37" t="s">
        <v>359</v>
      </c>
      <c r="D234" s="37"/>
      <c r="E234" s="37" t="s">
        <v>55</v>
      </c>
      <c r="F234" s="37" t="s">
        <v>57</v>
      </c>
      <c r="G234" s="24" t="s">
        <v>56</v>
      </c>
      <c r="H234" s="24">
        <v>2</v>
      </c>
      <c r="J234" s="38">
        <v>46177</v>
      </c>
      <c r="K234" s="38">
        <v>46177</v>
      </c>
    </row>
    <row r="235" spans="2:11" ht="18.75" customHeight="1" x14ac:dyDescent="0.25">
      <c r="B235" s="24" t="s">
        <v>95</v>
      </c>
      <c r="C235" s="37" t="s">
        <v>360</v>
      </c>
      <c r="D235" s="37"/>
      <c r="E235" s="37" t="s">
        <v>55</v>
      </c>
      <c r="F235" s="37" t="s">
        <v>57</v>
      </c>
      <c r="G235" s="24" t="s">
        <v>56</v>
      </c>
      <c r="H235" s="24">
        <v>2</v>
      </c>
      <c r="J235" s="38">
        <v>46178</v>
      </c>
      <c r="K235" s="38">
        <v>46178</v>
      </c>
    </row>
    <row r="236" spans="2:11" ht="18.75" customHeight="1" x14ac:dyDescent="0.25">
      <c r="B236" s="24" t="s">
        <v>95</v>
      </c>
      <c r="C236" s="37" t="s">
        <v>361</v>
      </c>
      <c r="D236" s="37"/>
      <c r="E236" s="37" t="s">
        <v>55</v>
      </c>
      <c r="F236" s="37" t="s">
        <v>57</v>
      </c>
      <c r="G236" s="24" t="s">
        <v>56</v>
      </c>
      <c r="H236" s="24">
        <v>2</v>
      </c>
      <c r="J236" s="38">
        <v>46181</v>
      </c>
      <c r="K236" s="38">
        <v>46181</v>
      </c>
    </row>
    <row r="237" spans="2:11" ht="18.75" customHeight="1" x14ac:dyDescent="0.25">
      <c r="B237" s="24" t="s">
        <v>95</v>
      </c>
      <c r="C237" s="37" t="s">
        <v>362</v>
      </c>
      <c r="D237" s="37"/>
      <c r="E237" s="37" t="s">
        <v>55</v>
      </c>
      <c r="F237" s="37" t="s">
        <v>57</v>
      </c>
      <c r="G237" s="24" t="s">
        <v>56</v>
      </c>
      <c r="H237" s="24">
        <v>2</v>
      </c>
      <c r="J237" s="38">
        <v>46182</v>
      </c>
      <c r="K237" s="38">
        <v>46182</v>
      </c>
    </row>
    <row r="238" spans="2:11" ht="18.75" customHeight="1" x14ac:dyDescent="0.25">
      <c r="B238" s="24" t="s">
        <v>95</v>
      </c>
      <c r="C238" s="37" t="s">
        <v>363</v>
      </c>
      <c r="D238" s="37"/>
      <c r="E238" s="37" t="s">
        <v>55</v>
      </c>
      <c r="F238" s="37" t="s">
        <v>57</v>
      </c>
      <c r="G238" s="24" t="s">
        <v>56</v>
      </c>
      <c r="H238" s="24">
        <v>2</v>
      </c>
      <c r="J238" s="38">
        <v>46183</v>
      </c>
      <c r="K238" s="38">
        <v>46183</v>
      </c>
    </row>
    <row r="239" spans="2:11" ht="18.75" customHeight="1" x14ac:dyDescent="0.25">
      <c r="B239" s="24" t="s">
        <v>95</v>
      </c>
      <c r="C239" s="37" t="s">
        <v>364</v>
      </c>
      <c r="D239" s="37"/>
      <c r="E239" s="37" t="s">
        <v>55</v>
      </c>
      <c r="F239" s="37" t="s">
        <v>57</v>
      </c>
      <c r="G239" s="24" t="s">
        <v>56</v>
      </c>
      <c r="H239" s="24">
        <v>2</v>
      </c>
      <c r="J239" s="38">
        <v>46184</v>
      </c>
      <c r="K239" s="38">
        <v>46184</v>
      </c>
    </row>
    <row r="240" spans="2:11" ht="18.75" customHeight="1" x14ac:dyDescent="0.25">
      <c r="B240" s="24" t="s">
        <v>95</v>
      </c>
      <c r="C240" s="37" t="s">
        <v>365</v>
      </c>
      <c r="D240" s="37"/>
      <c r="E240" s="37" t="s">
        <v>55</v>
      </c>
      <c r="F240" s="37" t="s">
        <v>57</v>
      </c>
      <c r="G240" s="24" t="s">
        <v>56</v>
      </c>
      <c r="H240" s="24">
        <v>2</v>
      </c>
      <c r="J240" s="38">
        <v>46185</v>
      </c>
      <c r="K240" s="38">
        <v>46185</v>
      </c>
    </row>
    <row r="241" spans="2:11" ht="18.75" customHeight="1" x14ac:dyDescent="0.25">
      <c r="B241" s="24" t="s">
        <v>95</v>
      </c>
      <c r="C241" s="37" t="s">
        <v>366</v>
      </c>
      <c r="D241" s="37"/>
      <c r="E241" s="37" t="s">
        <v>55</v>
      </c>
      <c r="F241" s="37" t="s">
        <v>57</v>
      </c>
      <c r="G241" s="24" t="s">
        <v>56</v>
      </c>
      <c r="H241" s="24">
        <v>2</v>
      </c>
      <c r="J241" s="38">
        <v>46188</v>
      </c>
      <c r="K241" s="38">
        <v>46188</v>
      </c>
    </row>
    <row r="242" spans="2:11" ht="18.75" customHeight="1" x14ac:dyDescent="0.25">
      <c r="B242" s="24" t="s">
        <v>95</v>
      </c>
      <c r="C242" s="37" t="s">
        <v>367</v>
      </c>
      <c r="D242" s="37"/>
      <c r="E242" s="37" t="s">
        <v>55</v>
      </c>
      <c r="F242" s="37" t="s">
        <v>57</v>
      </c>
      <c r="G242" s="24" t="s">
        <v>56</v>
      </c>
      <c r="H242" s="24">
        <v>2</v>
      </c>
      <c r="J242" s="38">
        <v>46189</v>
      </c>
      <c r="K242" s="38">
        <v>46189</v>
      </c>
    </row>
    <row r="243" spans="2:11" ht="18.75" customHeight="1" x14ac:dyDescent="0.25">
      <c r="B243" s="24" t="s">
        <v>95</v>
      </c>
      <c r="C243" s="37" t="s">
        <v>368</v>
      </c>
      <c r="D243" s="37"/>
      <c r="E243" s="37" t="s">
        <v>55</v>
      </c>
      <c r="F243" s="37" t="s">
        <v>57</v>
      </c>
      <c r="G243" s="24" t="s">
        <v>56</v>
      </c>
      <c r="H243" s="24">
        <v>2</v>
      </c>
      <c r="J243" s="38">
        <v>46190</v>
      </c>
      <c r="K243" s="38">
        <v>46190</v>
      </c>
    </row>
    <row r="244" spans="2:11" ht="18.75" customHeight="1" x14ac:dyDescent="0.25">
      <c r="B244" s="24" t="s">
        <v>95</v>
      </c>
      <c r="C244" s="37" t="s">
        <v>369</v>
      </c>
      <c r="D244" s="37"/>
      <c r="E244" s="37" t="s">
        <v>55</v>
      </c>
      <c r="F244" s="37" t="s">
        <v>57</v>
      </c>
      <c r="G244" s="24" t="s">
        <v>56</v>
      </c>
      <c r="H244" s="24">
        <v>2</v>
      </c>
      <c r="J244" s="38">
        <v>46191</v>
      </c>
      <c r="K244" s="38">
        <v>46191</v>
      </c>
    </row>
    <row r="245" spans="2:11" ht="18.75" customHeight="1" x14ac:dyDescent="0.25">
      <c r="B245" s="24" t="s">
        <v>95</v>
      </c>
      <c r="C245" s="37" t="s">
        <v>370</v>
      </c>
      <c r="D245" s="37"/>
      <c r="E245" s="37" t="s">
        <v>55</v>
      </c>
      <c r="F245" s="37" t="s">
        <v>57</v>
      </c>
      <c r="G245" s="24" t="s">
        <v>56</v>
      </c>
      <c r="H245" s="24">
        <v>2</v>
      </c>
      <c r="J245" s="38">
        <v>46192</v>
      </c>
      <c r="K245" s="38">
        <v>46192</v>
      </c>
    </row>
    <row r="246" spans="2:11" ht="18.75" customHeight="1" x14ac:dyDescent="0.25">
      <c r="B246" s="24" t="s">
        <v>95</v>
      </c>
      <c r="C246" s="37" t="s">
        <v>371</v>
      </c>
      <c r="D246" s="37"/>
      <c r="E246" s="37" t="s">
        <v>55</v>
      </c>
      <c r="F246" s="37" t="s">
        <v>57</v>
      </c>
      <c r="G246" s="24" t="s">
        <v>56</v>
      </c>
      <c r="H246" s="24">
        <v>2</v>
      </c>
      <c r="J246" s="38">
        <v>46195</v>
      </c>
      <c r="K246" s="38">
        <v>46195</v>
      </c>
    </row>
    <row r="247" spans="2:11" ht="18.75" customHeight="1" x14ac:dyDescent="0.25">
      <c r="B247" s="24" t="s">
        <v>95</v>
      </c>
      <c r="C247" s="37" t="s">
        <v>372</v>
      </c>
      <c r="D247" s="37"/>
      <c r="E247" s="37" t="s">
        <v>55</v>
      </c>
      <c r="F247" s="37" t="s">
        <v>57</v>
      </c>
      <c r="G247" s="24" t="s">
        <v>56</v>
      </c>
      <c r="H247" s="24">
        <v>2</v>
      </c>
      <c r="J247" s="38">
        <v>46196</v>
      </c>
      <c r="K247" s="38">
        <v>46196</v>
      </c>
    </row>
    <row r="248" spans="2:11" ht="18.75" customHeight="1" x14ac:dyDescent="0.25">
      <c r="B248" s="24" t="s">
        <v>95</v>
      </c>
      <c r="C248" s="37" t="s">
        <v>373</v>
      </c>
      <c r="D248" s="37"/>
      <c r="E248" s="37" t="s">
        <v>55</v>
      </c>
      <c r="F248" s="37" t="s">
        <v>57</v>
      </c>
      <c r="G248" s="24" t="s">
        <v>56</v>
      </c>
      <c r="H248" s="24">
        <v>2</v>
      </c>
      <c r="J248" s="38">
        <v>46197</v>
      </c>
      <c r="K248" s="38">
        <v>46197</v>
      </c>
    </row>
    <row r="249" spans="2:11" ht="18.75" customHeight="1" x14ac:dyDescent="0.25">
      <c r="B249" s="24" t="s">
        <v>95</v>
      </c>
      <c r="C249" s="37" t="s">
        <v>374</v>
      </c>
      <c r="D249" s="37"/>
      <c r="E249" s="37" t="s">
        <v>55</v>
      </c>
      <c r="F249" s="37" t="s">
        <v>57</v>
      </c>
      <c r="G249" s="24" t="s">
        <v>56</v>
      </c>
      <c r="H249" s="24">
        <v>2</v>
      </c>
      <c r="J249" s="38">
        <v>46198</v>
      </c>
      <c r="K249" s="38">
        <v>46198</v>
      </c>
    </row>
    <row r="250" spans="2:11" ht="18.75" customHeight="1" x14ac:dyDescent="0.25">
      <c r="B250" s="24" t="s">
        <v>95</v>
      </c>
      <c r="C250" s="37" t="s">
        <v>375</v>
      </c>
      <c r="D250" s="37"/>
      <c r="E250" s="37" t="s">
        <v>55</v>
      </c>
      <c r="F250" s="37" t="s">
        <v>57</v>
      </c>
      <c r="G250" s="24" t="s">
        <v>56</v>
      </c>
      <c r="H250" s="24">
        <v>2</v>
      </c>
      <c r="J250" s="38">
        <v>46199</v>
      </c>
      <c r="K250" s="38">
        <v>46199</v>
      </c>
    </row>
    <row r="251" spans="2:11" ht="18.75" customHeight="1" x14ac:dyDescent="0.25">
      <c r="B251" s="24" t="s">
        <v>95</v>
      </c>
      <c r="C251" s="37" t="s">
        <v>376</v>
      </c>
      <c r="D251" s="37"/>
      <c r="E251" s="37" t="s">
        <v>55</v>
      </c>
      <c r="F251" s="37" t="s">
        <v>57</v>
      </c>
      <c r="G251" s="24" t="s">
        <v>56</v>
      </c>
      <c r="H251" s="24">
        <v>2</v>
      </c>
      <c r="J251" s="38">
        <v>46202</v>
      </c>
      <c r="K251" s="38">
        <v>46202</v>
      </c>
    </row>
    <row r="252" spans="2:11" ht="18.75" customHeight="1" x14ac:dyDescent="0.25">
      <c r="B252" s="24" t="s">
        <v>95</v>
      </c>
      <c r="C252" s="37" t="s">
        <v>377</v>
      </c>
      <c r="D252" s="37"/>
      <c r="E252" s="37" t="s">
        <v>55</v>
      </c>
      <c r="F252" s="37" t="s">
        <v>57</v>
      </c>
      <c r="G252" s="24" t="s">
        <v>56</v>
      </c>
      <c r="H252" s="24">
        <v>2</v>
      </c>
      <c r="J252" s="38">
        <v>46203</v>
      </c>
      <c r="K252" s="38">
        <v>46203</v>
      </c>
    </row>
    <row r="253" spans="2:11" ht="18.75" customHeight="1" x14ac:dyDescent="0.25">
      <c r="B253" s="24" t="s">
        <v>95</v>
      </c>
      <c r="C253" s="37" t="s">
        <v>378</v>
      </c>
      <c r="D253" s="37"/>
      <c r="E253" s="37" t="s">
        <v>55</v>
      </c>
      <c r="F253" s="37" t="s">
        <v>57</v>
      </c>
      <c r="G253" s="24" t="s">
        <v>56</v>
      </c>
      <c r="H253" s="24">
        <v>2</v>
      </c>
      <c r="J253" s="38">
        <v>46177</v>
      </c>
      <c r="K253" s="38">
        <v>46177</v>
      </c>
    </row>
    <row r="254" spans="2:11" ht="18.75" customHeight="1" x14ac:dyDescent="0.25">
      <c r="B254" s="24" t="s">
        <v>95</v>
      </c>
      <c r="C254" s="37" t="s">
        <v>379</v>
      </c>
      <c r="D254" s="37"/>
      <c r="E254" s="37" t="s">
        <v>55</v>
      </c>
      <c r="F254" s="37" t="s">
        <v>57</v>
      </c>
      <c r="G254" s="24" t="s">
        <v>56</v>
      </c>
      <c r="H254" s="24">
        <v>2</v>
      </c>
      <c r="J254" s="38">
        <v>46178</v>
      </c>
      <c r="K254" s="38">
        <v>46178</v>
      </c>
    </row>
    <row r="255" spans="2:11" ht="18.75" customHeight="1" x14ac:dyDescent="0.25">
      <c r="B255" s="24" t="s">
        <v>95</v>
      </c>
      <c r="C255" s="37" t="s">
        <v>380</v>
      </c>
      <c r="D255" s="37"/>
      <c r="E255" s="37" t="s">
        <v>55</v>
      </c>
      <c r="F255" s="37" t="s">
        <v>57</v>
      </c>
      <c r="G255" s="24" t="s">
        <v>56</v>
      </c>
      <c r="H255" s="24">
        <v>2</v>
      </c>
      <c r="J255" s="38">
        <v>46181</v>
      </c>
      <c r="K255" s="38">
        <v>46181</v>
      </c>
    </row>
    <row r="256" spans="2:11" ht="18.75" customHeight="1" x14ac:dyDescent="0.25">
      <c r="B256" s="24" t="s">
        <v>95</v>
      </c>
      <c r="C256" s="37" t="s">
        <v>381</v>
      </c>
      <c r="D256" s="37"/>
      <c r="E256" s="37" t="s">
        <v>55</v>
      </c>
      <c r="F256" s="37" t="s">
        <v>57</v>
      </c>
      <c r="G256" s="24" t="s">
        <v>56</v>
      </c>
      <c r="H256" s="24">
        <v>2</v>
      </c>
      <c r="J256" s="38">
        <v>46182</v>
      </c>
      <c r="K256" s="38">
        <v>46182</v>
      </c>
    </row>
    <row r="257" spans="2:11" ht="18.75" customHeight="1" x14ac:dyDescent="0.25">
      <c r="B257" s="24" t="s">
        <v>95</v>
      </c>
      <c r="C257" s="37" t="s">
        <v>382</v>
      </c>
      <c r="D257" s="37"/>
      <c r="E257" s="37" t="s">
        <v>55</v>
      </c>
      <c r="F257" s="37" t="s">
        <v>57</v>
      </c>
      <c r="G257" s="24" t="s">
        <v>56</v>
      </c>
      <c r="H257" s="24">
        <v>2</v>
      </c>
      <c r="J257" s="38">
        <v>46183</v>
      </c>
      <c r="K257" s="38">
        <v>46183</v>
      </c>
    </row>
    <row r="258" spans="2:11" ht="18.75" customHeight="1" x14ac:dyDescent="0.25">
      <c r="B258" s="24" t="s">
        <v>95</v>
      </c>
      <c r="C258" s="37" t="s">
        <v>383</v>
      </c>
      <c r="D258" s="37"/>
      <c r="E258" s="37" t="s">
        <v>55</v>
      </c>
      <c r="F258" s="37" t="s">
        <v>57</v>
      </c>
      <c r="G258" s="24" t="s">
        <v>56</v>
      </c>
      <c r="H258" s="24">
        <v>2</v>
      </c>
      <c r="J258" s="38">
        <v>46184</v>
      </c>
      <c r="K258" s="38">
        <v>46184</v>
      </c>
    </row>
    <row r="259" spans="2:11" ht="18.75" customHeight="1" x14ac:dyDescent="0.25">
      <c r="B259" s="24" t="s">
        <v>95</v>
      </c>
      <c r="C259" s="37" t="s">
        <v>384</v>
      </c>
      <c r="D259" s="37"/>
      <c r="E259" s="37" t="s">
        <v>55</v>
      </c>
      <c r="F259" s="37" t="s">
        <v>57</v>
      </c>
      <c r="G259" s="24" t="s">
        <v>56</v>
      </c>
      <c r="H259" s="24">
        <v>2</v>
      </c>
      <c r="J259" s="38">
        <v>46185</v>
      </c>
      <c r="K259" s="38">
        <v>46185</v>
      </c>
    </row>
    <row r="260" spans="2:11" ht="18.75" customHeight="1" x14ac:dyDescent="0.25">
      <c r="B260" s="24" t="s">
        <v>95</v>
      </c>
      <c r="C260" s="37" t="s">
        <v>385</v>
      </c>
      <c r="D260" s="37"/>
      <c r="E260" s="37" t="s">
        <v>55</v>
      </c>
      <c r="F260" s="37" t="s">
        <v>57</v>
      </c>
      <c r="G260" s="24" t="s">
        <v>56</v>
      </c>
      <c r="H260" s="24">
        <v>2</v>
      </c>
      <c r="J260" s="38">
        <v>46188</v>
      </c>
      <c r="K260" s="38">
        <v>46188</v>
      </c>
    </row>
    <row r="261" spans="2:11" ht="18.75" customHeight="1" x14ac:dyDescent="0.25">
      <c r="B261" s="24" t="s">
        <v>95</v>
      </c>
      <c r="C261" s="37" t="s">
        <v>386</v>
      </c>
      <c r="D261" s="37"/>
      <c r="E261" s="37" t="s">
        <v>55</v>
      </c>
      <c r="F261" s="37" t="s">
        <v>57</v>
      </c>
      <c r="G261" s="24" t="s">
        <v>56</v>
      </c>
      <c r="H261" s="24">
        <v>2</v>
      </c>
      <c r="J261" s="38">
        <v>46189</v>
      </c>
      <c r="K261" s="38">
        <v>46189</v>
      </c>
    </row>
    <row r="262" spans="2:11" ht="18.75" customHeight="1" x14ac:dyDescent="0.25">
      <c r="B262" s="24" t="s">
        <v>95</v>
      </c>
      <c r="C262" s="37" t="s">
        <v>387</v>
      </c>
      <c r="D262" s="37"/>
      <c r="E262" s="37" t="s">
        <v>55</v>
      </c>
      <c r="F262" s="37" t="s">
        <v>57</v>
      </c>
      <c r="G262" s="24" t="s">
        <v>56</v>
      </c>
      <c r="H262" s="24">
        <v>2</v>
      </c>
      <c r="J262" s="38">
        <v>46190</v>
      </c>
      <c r="K262" s="38">
        <v>46190</v>
      </c>
    </row>
    <row r="263" spans="2:11" ht="18.75" customHeight="1" x14ac:dyDescent="0.25">
      <c r="B263" s="24" t="s">
        <v>95</v>
      </c>
      <c r="C263" s="37" t="s">
        <v>388</v>
      </c>
      <c r="D263" s="37"/>
      <c r="E263" s="37" t="s">
        <v>55</v>
      </c>
      <c r="F263" s="37" t="s">
        <v>57</v>
      </c>
      <c r="G263" s="24" t="s">
        <v>56</v>
      </c>
      <c r="H263" s="24">
        <v>2</v>
      </c>
      <c r="J263" s="38">
        <v>46191</v>
      </c>
      <c r="K263" s="38">
        <v>46191</v>
      </c>
    </row>
    <row r="264" spans="2:11" ht="18.75" customHeight="1" x14ac:dyDescent="0.25">
      <c r="B264" s="24" t="s">
        <v>95</v>
      </c>
      <c r="C264" s="37" t="s">
        <v>389</v>
      </c>
      <c r="D264" s="37"/>
      <c r="E264" s="37" t="s">
        <v>55</v>
      </c>
      <c r="F264" s="37" t="s">
        <v>57</v>
      </c>
      <c r="G264" s="24" t="s">
        <v>56</v>
      </c>
      <c r="H264" s="24">
        <v>2</v>
      </c>
      <c r="J264" s="38">
        <v>46192</v>
      </c>
      <c r="K264" s="38">
        <v>46192</v>
      </c>
    </row>
    <row r="265" spans="2:11" ht="18.75" customHeight="1" x14ac:dyDescent="0.25">
      <c r="B265" s="24" t="s">
        <v>95</v>
      </c>
      <c r="C265" s="37" t="s">
        <v>390</v>
      </c>
      <c r="D265" s="37"/>
      <c r="E265" s="37" t="s">
        <v>55</v>
      </c>
      <c r="F265" s="37" t="s">
        <v>57</v>
      </c>
      <c r="G265" s="24" t="s">
        <v>56</v>
      </c>
      <c r="H265" s="24">
        <v>2</v>
      </c>
      <c r="J265" s="38">
        <v>46195</v>
      </c>
      <c r="K265" s="38">
        <v>46195</v>
      </c>
    </row>
    <row r="266" spans="2:11" ht="18.75" customHeight="1" x14ac:dyDescent="0.25">
      <c r="B266" s="24" t="s">
        <v>95</v>
      </c>
      <c r="C266" s="37" t="s">
        <v>391</v>
      </c>
      <c r="D266" s="37"/>
      <c r="E266" s="37" t="s">
        <v>55</v>
      </c>
      <c r="F266" s="37" t="s">
        <v>57</v>
      </c>
      <c r="G266" s="24" t="s">
        <v>56</v>
      </c>
      <c r="H266" s="24">
        <v>2</v>
      </c>
      <c r="J266" s="38">
        <v>46196</v>
      </c>
      <c r="K266" s="38">
        <v>46196</v>
      </c>
    </row>
    <row r="267" spans="2:11" ht="18.75" customHeight="1" x14ac:dyDescent="0.25">
      <c r="B267" s="24" t="s">
        <v>95</v>
      </c>
      <c r="C267" s="37" t="s">
        <v>392</v>
      </c>
      <c r="D267" s="37"/>
      <c r="E267" s="37" t="s">
        <v>55</v>
      </c>
      <c r="F267" s="37" t="s">
        <v>57</v>
      </c>
      <c r="G267" s="24" t="s">
        <v>56</v>
      </c>
      <c r="H267" s="24">
        <v>2</v>
      </c>
      <c r="J267" s="38">
        <v>46197</v>
      </c>
      <c r="K267" s="38">
        <v>46197</v>
      </c>
    </row>
    <row r="268" spans="2:11" ht="18.75" customHeight="1" x14ac:dyDescent="0.25">
      <c r="B268" s="24" t="s">
        <v>95</v>
      </c>
      <c r="C268" s="37" t="s">
        <v>393</v>
      </c>
      <c r="D268" s="37"/>
      <c r="E268" s="37" t="s">
        <v>55</v>
      </c>
      <c r="F268" s="37" t="s">
        <v>57</v>
      </c>
      <c r="G268" s="24" t="s">
        <v>56</v>
      </c>
      <c r="H268" s="24">
        <v>2</v>
      </c>
      <c r="J268" s="38">
        <v>46198</v>
      </c>
      <c r="K268" s="38">
        <v>46198</v>
      </c>
    </row>
    <row r="269" spans="2:11" ht="18.75" customHeight="1" x14ac:dyDescent="0.25">
      <c r="B269" s="24" t="s">
        <v>95</v>
      </c>
      <c r="C269" s="37" t="s">
        <v>394</v>
      </c>
      <c r="D269" s="37"/>
      <c r="E269" s="37" t="s">
        <v>55</v>
      </c>
      <c r="F269" s="37" t="s">
        <v>57</v>
      </c>
      <c r="G269" s="24" t="s">
        <v>56</v>
      </c>
      <c r="H269" s="24">
        <v>2</v>
      </c>
      <c r="J269" s="38">
        <v>46199</v>
      </c>
      <c r="K269" s="38">
        <v>46199</v>
      </c>
    </row>
    <row r="270" spans="2:11" ht="18.75" customHeight="1" x14ac:dyDescent="0.25">
      <c r="B270" s="24" t="s">
        <v>95</v>
      </c>
      <c r="C270" s="37" t="s">
        <v>395</v>
      </c>
      <c r="D270" s="37"/>
      <c r="E270" s="37" t="s">
        <v>55</v>
      </c>
      <c r="F270" s="37" t="s">
        <v>57</v>
      </c>
      <c r="G270" s="24" t="s">
        <v>56</v>
      </c>
      <c r="H270" s="24">
        <v>2</v>
      </c>
      <c r="J270" s="38">
        <v>46202</v>
      </c>
      <c r="K270" s="38">
        <v>46202</v>
      </c>
    </row>
    <row r="271" spans="2:11" ht="18.75" customHeight="1" x14ac:dyDescent="0.25">
      <c r="B271" s="24" t="s">
        <v>95</v>
      </c>
      <c r="C271" s="37" t="s">
        <v>396</v>
      </c>
      <c r="D271" s="37"/>
      <c r="E271" s="37" t="s">
        <v>55</v>
      </c>
      <c r="F271" s="37" t="s">
        <v>57</v>
      </c>
      <c r="G271" s="24" t="s">
        <v>56</v>
      </c>
      <c r="H271" s="24">
        <v>2</v>
      </c>
      <c r="J271" s="38">
        <v>46203</v>
      </c>
      <c r="K271" s="38">
        <v>46203</v>
      </c>
    </row>
    <row r="272" spans="2:11" ht="18.75" customHeight="1" x14ac:dyDescent="0.25">
      <c r="B272" s="24" t="s">
        <v>95</v>
      </c>
      <c r="C272" s="37" t="s">
        <v>397</v>
      </c>
      <c r="D272" s="37"/>
      <c r="E272" s="37" t="s">
        <v>55</v>
      </c>
      <c r="F272" s="37" t="s">
        <v>57</v>
      </c>
      <c r="G272" s="24" t="s">
        <v>56</v>
      </c>
      <c r="H272" s="24">
        <v>2</v>
      </c>
      <c r="J272" s="38">
        <v>46177</v>
      </c>
      <c r="K272" s="38">
        <v>46177</v>
      </c>
    </row>
    <row r="273" spans="2:11" ht="18.75" customHeight="1" x14ac:dyDescent="0.25">
      <c r="B273" s="24" t="s">
        <v>95</v>
      </c>
      <c r="C273" s="37" t="s">
        <v>398</v>
      </c>
      <c r="D273" s="37"/>
      <c r="E273" s="37" t="s">
        <v>55</v>
      </c>
      <c r="F273" s="37" t="s">
        <v>57</v>
      </c>
      <c r="G273" s="24" t="s">
        <v>56</v>
      </c>
      <c r="H273" s="24">
        <v>2</v>
      </c>
      <c r="J273" s="38">
        <v>46178</v>
      </c>
      <c r="K273" s="38">
        <v>46178</v>
      </c>
    </row>
    <row r="274" spans="2:11" ht="18.75" customHeight="1" x14ac:dyDescent="0.25">
      <c r="B274" s="24" t="s">
        <v>95</v>
      </c>
      <c r="C274" s="37" t="s">
        <v>399</v>
      </c>
      <c r="D274" s="37"/>
      <c r="E274" s="37" t="s">
        <v>55</v>
      </c>
      <c r="F274" s="37" t="s">
        <v>57</v>
      </c>
      <c r="G274" s="24" t="s">
        <v>56</v>
      </c>
      <c r="H274" s="24">
        <v>2</v>
      </c>
      <c r="J274" s="38">
        <v>46181</v>
      </c>
      <c r="K274" s="38">
        <v>46181</v>
      </c>
    </row>
    <row r="275" spans="2:11" ht="18.75" customHeight="1" x14ac:dyDescent="0.25">
      <c r="B275" s="24" t="s">
        <v>95</v>
      </c>
      <c r="C275" s="37" t="s">
        <v>400</v>
      </c>
      <c r="D275" s="37"/>
      <c r="E275" s="37" t="s">
        <v>55</v>
      </c>
      <c r="F275" s="37" t="s">
        <v>57</v>
      </c>
      <c r="G275" s="24" t="s">
        <v>56</v>
      </c>
      <c r="H275" s="24">
        <v>2</v>
      </c>
      <c r="J275" s="38">
        <v>46182</v>
      </c>
      <c r="K275" s="38">
        <v>46182</v>
      </c>
    </row>
    <row r="276" spans="2:11" ht="18.75" customHeight="1" x14ac:dyDescent="0.25">
      <c r="B276" s="24" t="s">
        <v>95</v>
      </c>
      <c r="C276" s="37" t="s">
        <v>401</v>
      </c>
      <c r="D276" s="37"/>
      <c r="E276" s="37" t="s">
        <v>55</v>
      </c>
      <c r="F276" s="37" t="s">
        <v>57</v>
      </c>
      <c r="G276" s="24" t="s">
        <v>56</v>
      </c>
      <c r="H276" s="24">
        <v>2</v>
      </c>
      <c r="J276" s="38">
        <v>46183</v>
      </c>
      <c r="K276" s="38">
        <v>46183</v>
      </c>
    </row>
    <row r="277" spans="2:11" ht="18.75" customHeight="1" x14ac:dyDescent="0.25">
      <c r="B277" s="24" t="s">
        <v>95</v>
      </c>
      <c r="C277" s="37" t="s">
        <v>402</v>
      </c>
      <c r="D277" s="37"/>
      <c r="E277" s="37" t="s">
        <v>55</v>
      </c>
      <c r="F277" s="37" t="s">
        <v>57</v>
      </c>
      <c r="G277" s="24" t="s">
        <v>56</v>
      </c>
      <c r="H277" s="24">
        <v>2</v>
      </c>
      <c r="J277" s="38">
        <v>46184</v>
      </c>
      <c r="K277" s="38">
        <v>46184</v>
      </c>
    </row>
    <row r="278" spans="2:11" ht="18.75" customHeight="1" x14ac:dyDescent="0.25">
      <c r="B278" s="24" t="s">
        <v>95</v>
      </c>
      <c r="C278" s="37" t="s">
        <v>403</v>
      </c>
      <c r="D278" s="37"/>
      <c r="E278" s="37" t="s">
        <v>55</v>
      </c>
      <c r="F278" s="37" t="s">
        <v>57</v>
      </c>
      <c r="G278" s="24" t="s">
        <v>56</v>
      </c>
      <c r="H278" s="24">
        <v>2</v>
      </c>
      <c r="J278" s="38">
        <v>46185</v>
      </c>
      <c r="K278" s="38">
        <v>46185</v>
      </c>
    </row>
    <row r="279" spans="2:11" ht="18.75" customHeight="1" x14ac:dyDescent="0.25">
      <c r="B279" s="24" t="s">
        <v>95</v>
      </c>
      <c r="C279" s="37" t="s">
        <v>404</v>
      </c>
      <c r="D279" s="37"/>
      <c r="E279" s="37" t="s">
        <v>55</v>
      </c>
      <c r="F279" s="37" t="s">
        <v>57</v>
      </c>
      <c r="G279" s="24" t="s">
        <v>56</v>
      </c>
      <c r="H279" s="24">
        <v>2</v>
      </c>
      <c r="J279" s="38">
        <v>46188</v>
      </c>
      <c r="K279" s="38">
        <v>46188</v>
      </c>
    </row>
    <row r="280" spans="2:11" ht="18.75" customHeight="1" x14ac:dyDescent="0.25">
      <c r="B280" s="24" t="s">
        <v>95</v>
      </c>
      <c r="C280" s="37" t="s">
        <v>405</v>
      </c>
      <c r="D280" s="37"/>
      <c r="E280" s="37" t="s">
        <v>55</v>
      </c>
      <c r="F280" s="37" t="s">
        <v>57</v>
      </c>
      <c r="G280" s="24" t="s">
        <v>56</v>
      </c>
      <c r="H280" s="24">
        <v>2</v>
      </c>
      <c r="J280" s="38">
        <v>46189</v>
      </c>
      <c r="K280" s="38">
        <v>46189</v>
      </c>
    </row>
    <row r="281" spans="2:11" ht="18.75" customHeight="1" x14ac:dyDescent="0.25">
      <c r="B281" s="24" t="s">
        <v>95</v>
      </c>
      <c r="C281" s="37" t="s">
        <v>406</v>
      </c>
      <c r="D281" s="37"/>
      <c r="E281" s="37" t="s">
        <v>55</v>
      </c>
      <c r="F281" s="37" t="s">
        <v>57</v>
      </c>
      <c r="G281" s="24" t="s">
        <v>56</v>
      </c>
      <c r="H281" s="24">
        <v>2</v>
      </c>
      <c r="J281" s="38">
        <v>46190</v>
      </c>
      <c r="K281" s="38">
        <v>46190</v>
      </c>
    </row>
    <row r="282" spans="2:11" ht="18.75" customHeight="1" x14ac:dyDescent="0.25">
      <c r="B282" s="24" t="s">
        <v>95</v>
      </c>
      <c r="C282" s="37" t="s">
        <v>407</v>
      </c>
      <c r="D282" s="37"/>
      <c r="E282" s="37" t="s">
        <v>55</v>
      </c>
      <c r="F282" s="37" t="s">
        <v>57</v>
      </c>
      <c r="G282" s="24" t="s">
        <v>56</v>
      </c>
      <c r="H282" s="24">
        <v>2</v>
      </c>
      <c r="J282" s="38">
        <v>46191</v>
      </c>
      <c r="K282" s="38">
        <v>46191</v>
      </c>
    </row>
    <row r="283" spans="2:11" ht="18.75" customHeight="1" x14ac:dyDescent="0.25">
      <c r="B283" s="24" t="s">
        <v>95</v>
      </c>
      <c r="C283" s="37" t="s">
        <v>408</v>
      </c>
      <c r="D283" s="37"/>
      <c r="E283" s="37" t="s">
        <v>55</v>
      </c>
      <c r="F283" s="37" t="s">
        <v>57</v>
      </c>
      <c r="G283" s="24" t="s">
        <v>56</v>
      </c>
      <c r="H283" s="24">
        <v>2</v>
      </c>
      <c r="J283" s="38">
        <v>46192</v>
      </c>
      <c r="K283" s="38">
        <v>46192</v>
      </c>
    </row>
    <row r="284" spans="2:11" ht="18.75" customHeight="1" x14ac:dyDescent="0.25">
      <c r="B284" s="24" t="s">
        <v>95</v>
      </c>
      <c r="C284" s="37" t="s">
        <v>409</v>
      </c>
      <c r="D284" s="37"/>
      <c r="E284" s="37" t="s">
        <v>55</v>
      </c>
      <c r="F284" s="37" t="s">
        <v>57</v>
      </c>
      <c r="G284" s="24" t="s">
        <v>56</v>
      </c>
      <c r="H284" s="24">
        <v>2</v>
      </c>
      <c r="J284" s="38">
        <v>46195</v>
      </c>
      <c r="K284" s="38">
        <v>46195</v>
      </c>
    </row>
    <row r="285" spans="2:11" ht="18.75" customHeight="1" x14ac:dyDescent="0.25">
      <c r="B285" s="24" t="s">
        <v>95</v>
      </c>
      <c r="C285" s="37" t="s">
        <v>410</v>
      </c>
      <c r="D285" s="37"/>
      <c r="E285" s="37" t="s">
        <v>55</v>
      </c>
      <c r="F285" s="37" t="s">
        <v>57</v>
      </c>
      <c r="G285" s="24" t="s">
        <v>56</v>
      </c>
      <c r="H285" s="24">
        <v>2</v>
      </c>
      <c r="J285" s="38">
        <v>46196</v>
      </c>
      <c r="K285" s="38">
        <v>46196</v>
      </c>
    </row>
    <row r="286" spans="2:11" ht="18.75" customHeight="1" x14ac:dyDescent="0.25">
      <c r="B286" s="24" t="s">
        <v>95</v>
      </c>
      <c r="C286" s="37" t="s">
        <v>411</v>
      </c>
      <c r="D286" s="37"/>
      <c r="E286" s="37" t="s">
        <v>55</v>
      </c>
      <c r="F286" s="37" t="s">
        <v>57</v>
      </c>
      <c r="G286" s="24" t="s">
        <v>56</v>
      </c>
      <c r="H286" s="24">
        <v>2</v>
      </c>
      <c r="J286" s="38">
        <v>46197</v>
      </c>
      <c r="K286" s="38">
        <v>46197</v>
      </c>
    </row>
    <row r="287" spans="2:11" ht="18.75" customHeight="1" x14ac:dyDescent="0.25">
      <c r="B287" s="24" t="s">
        <v>95</v>
      </c>
      <c r="C287" s="37" t="s">
        <v>412</v>
      </c>
      <c r="D287" s="37"/>
      <c r="E287" s="37" t="s">
        <v>55</v>
      </c>
      <c r="F287" s="37" t="s">
        <v>57</v>
      </c>
      <c r="G287" s="24" t="s">
        <v>56</v>
      </c>
      <c r="H287" s="24">
        <v>2</v>
      </c>
      <c r="J287" s="38">
        <v>46198</v>
      </c>
      <c r="K287" s="38">
        <v>46198</v>
      </c>
    </row>
    <row r="288" spans="2:11" ht="18.75" customHeight="1" x14ac:dyDescent="0.25">
      <c r="B288" s="24" t="s">
        <v>95</v>
      </c>
      <c r="C288" s="37" t="s">
        <v>413</v>
      </c>
      <c r="D288" s="37"/>
      <c r="E288" s="37" t="s">
        <v>55</v>
      </c>
      <c r="F288" s="37" t="s">
        <v>57</v>
      </c>
      <c r="G288" s="24" t="s">
        <v>56</v>
      </c>
      <c r="H288" s="24">
        <v>2</v>
      </c>
      <c r="J288" s="38">
        <v>46199</v>
      </c>
      <c r="K288" s="38">
        <v>46199</v>
      </c>
    </row>
    <row r="289" spans="2:11" ht="18.75" customHeight="1" x14ac:dyDescent="0.25">
      <c r="B289" s="24" t="s">
        <v>95</v>
      </c>
      <c r="C289" s="37" t="s">
        <v>414</v>
      </c>
      <c r="D289" s="37"/>
      <c r="E289" s="37" t="s">
        <v>55</v>
      </c>
      <c r="F289" s="37" t="s">
        <v>57</v>
      </c>
      <c r="G289" s="24" t="s">
        <v>56</v>
      </c>
      <c r="H289" s="24">
        <v>2</v>
      </c>
      <c r="J289" s="38">
        <v>46202</v>
      </c>
      <c r="K289" s="38">
        <v>46202</v>
      </c>
    </row>
    <row r="290" spans="2:11" ht="18.75" customHeight="1" x14ac:dyDescent="0.25">
      <c r="B290" s="24" t="s">
        <v>95</v>
      </c>
      <c r="C290" s="37" t="s">
        <v>415</v>
      </c>
      <c r="D290" s="37"/>
      <c r="E290" s="37" t="s">
        <v>55</v>
      </c>
      <c r="F290" s="37" t="s">
        <v>57</v>
      </c>
      <c r="G290" s="24" t="s">
        <v>56</v>
      </c>
      <c r="H290" s="24">
        <v>2</v>
      </c>
      <c r="J290" s="38">
        <v>46203</v>
      </c>
      <c r="K290" s="38">
        <v>46203</v>
      </c>
    </row>
    <row r="291" spans="2:11" ht="18.75" customHeight="1" x14ac:dyDescent="0.25">
      <c r="B291" s="24" t="s">
        <v>96</v>
      </c>
      <c r="C291" s="37" t="s">
        <v>416</v>
      </c>
      <c r="D291" s="37"/>
      <c r="E291" s="37" t="s">
        <v>55</v>
      </c>
      <c r="F291" s="37" t="s">
        <v>57</v>
      </c>
      <c r="G291" s="24" t="s">
        <v>56</v>
      </c>
      <c r="H291" s="24">
        <v>2</v>
      </c>
      <c r="J291" s="38">
        <v>46177</v>
      </c>
      <c r="K291" s="38">
        <v>46177</v>
      </c>
    </row>
    <row r="292" spans="2:11" ht="18.75" customHeight="1" x14ac:dyDescent="0.25">
      <c r="B292" s="24" t="s">
        <v>96</v>
      </c>
      <c r="C292" s="37" t="s">
        <v>417</v>
      </c>
      <c r="D292" s="37"/>
      <c r="E292" s="37" t="s">
        <v>55</v>
      </c>
      <c r="F292" s="37" t="s">
        <v>57</v>
      </c>
      <c r="G292" s="24" t="s">
        <v>56</v>
      </c>
      <c r="H292" s="24">
        <v>2</v>
      </c>
      <c r="J292" s="38">
        <v>46181</v>
      </c>
      <c r="K292" s="38">
        <v>46181</v>
      </c>
    </row>
    <row r="293" spans="2:11" ht="18.75" customHeight="1" x14ac:dyDescent="0.25">
      <c r="B293" s="24" t="s">
        <v>96</v>
      </c>
      <c r="C293" s="37" t="s">
        <v>418</v>
      </c>
      <c r="D293" s="37"/>
      <c r="E293" s="37" t="s">
        <v>55</v>
      </c>
      <c r="F293" s="37" t="s">
        <v>57</v>
      </c>
      <c r="G293" s="24" t="s">
        <v>56</v>
      </c>
      <c r="H293" s="24">
        <v>2</v>
      </c>
      <c r="J293" s="38">
        <v>46188</v>
      </c>
      <c r="K293" s="38">
        <v>46188</v>
      </c>
    </row>
    <row r="294" spans="2:11" ht="18.75" customHeight="1" x14ac:dyDescent="0.25">
      <c r="B294" s="24" t="s">
        <v>96</v>
      </c>
      <c r="C294" s="37" t="s">
        <v>419</v>
      </c>
      <c r="D294" s="37"/>
      <c r="E294" s="37" t="s">
        <v>55</v>
      </c>
      <c r="F294" s="37" t="s">
        <v>57</v>
      </c>
      <c r="G294" s="24" t="s">
        <v>56</v>
      </c>
      <c r="H294" s="24">
        <v>2</v>
      </c>
      <c r="J294" s="38">
        <v>46195</v>
      </c>
      <c r="K294" s="38">
        <v>46195</v>
      </c>
    </row>
    <row r="295" spans="2:11" ht="18.75" customHeight="1" x14ac:dyDescent="0.25">
      <c r="B295" s="24" t="s">
        <v>96</v>
      </c>
      <c r="C295" s="37" t="s">
        <v>420</v>
      </c>
      <c r="D295" s="37"/>
      <c r="E295" s="37" t="s">
        <v>55</v>
      </c>
      <c r="F295" s="37" t="s">
        <v>57</v>
      </c>
      <c r="G295" s="24" t="s">
        <v>56</v>
      </c>
      <c r="H295" s="24">
        <v>2</v>
      </c>
      <c r="J295" s="38">
        <v>46202</v>
      </c>
      <c r="K295" s="38">
        <v>46202</v>
      </c>
    </row>
    <row r="296" spans="2:11" ht="18.75" customHeight="1" x14ac:dyDescent="0.25">
      <c r="B296" s="24" t="s">
        <v>96</v>
      </c>
      <c r="C296" s="37" t="s">
        <v>421</v>
      </c>
      <c r="D296" s="37"/>
      <c r="E296" s="37" t="s">
        <v>55</v>
      </c>
      <c r="F296" s="37" t="s">
        <v>57</v>
      </c>
      <c r="G296" s="24" t="s">
        <v>56</v>
      </c>
      <c r="H296" s="24">
        <v>2</v>
      </c>
      <c r="J296" s="38">
        <v>46177</v>
      </c>
      <c r="K296" s="38">
        <v>46177</v>
      </c>
    </row>
    <row r="297" spans="2:11" ht="18.75" customHeight="1" x14ac:dyDescent="0.25">
      <c r="B297" s="24" t="s">
        <v>96</v>
      </c>
      <c r="C297" s="37" t="s">
        <v>422</v>
      </c>
      <c r="D297" s="37"/>
      <c r="E297" s="37" t="s">
        <v>55</v>
      </c>
      <c r="F297" s="37" t="s">
        <v>57</v>
      </c>
      <c r="G297" s="24" t="s">
        <v>56</v>
      </c>
      <c r="H297" s="24">
        <v>2</v>
      </c>
      <c r="J297" s="38">
        <v>46181</v>
      </c>
      <c r="K297" s="38">
        <v>46181</v>
      </c>
    </row>
    <row r="298" spans="2:11" ht="18.75" customHeight="1" x14ac:dyDescent="0.25">
      <c r="B298" s="24" t="s">
        <v>96</v>
      </c>
      <c r="C298" s="37" t="s">
        <v>423</v>
      </c>
      <c r="D298" s="37"/>
      <c r="E298" s="37" t="s">
        <v>55</v>
      </c>
      <c r="F298" s="37" t="s">
        <v>57</v>
      </c>
      <c r="G298" s="24" t="s">
        <v>56</v>
      </c>
      <c r="H298" s="24">
        <v>2</v>
      </c>
      <c r="J298" s="38">
        <v>46188</v>
      </c>
      <c r="K298" s="38">
        <v>46188</v>
      </c>
    </row>
    <row r="299" spans="2:11" ht="18.75" customHeight="1" x14ac:dyDescent="0.25">
      <c r="B299" s="24" t="s">
        <v>96</v>
      </c>
      <c r="C299" s="37" t="s">
        <v>424</v>
      </c>
      <c r="D299" s="37"/>
      <c r="E299" s="37" t="s">
        <v>55</v>
      </c>
      <c r="F299" s="37" t="s">
        <v>57</v>
      </c>
      <c r="G299" s="24" t="s">
        <v>56</v>
      </c>
      <c r="H299" s="24">
        <v>2</v>
      </c>
      <c r="J299" s="38">
        <v>46195</v>
      </c>
      <c r="K299" s="38">
        <v>46195</v>
      </c>
    </row>
    <row r="300" spans="2:11" ht="18.75" customHeight="1" x14ac:dyDescent="0.25">
      <c r="B300" s="24" t="s">
        <v>96</v>
      </c>
      <c r="C300" s="37" t="s">
        <v>425</v>
      </c>
      <c r="D300" s="37"/>
      <c r="E300" s="37" t="s">
        <v>55</v>
      </c>
      <c r="F300" s="37" t="s">
        <v>57</v>
      </c>
      <c r="G300" s="24" t="s">
        <v>56</v>
      </c>
      <c r="H300" s="24">
        <v>2</v>
      </c>
      <c r="J300" s="38">
        <v>46202</v>
      </c>
      <c r="K300" s="38">
        <v>46202</v>
      </c>
    </row>
    <row r="301" spans="2:11" ht="18.75" customHeight="1" x14ac:dyDescent="0.25">
      <c r="B301" s="24" t="s">
        <v>96</v>
      </c>
      <c r="C301" s="37" t="s">
        <v>426</v>
      </c>
      <c r="D301" s="37"/>
      <c r="E301" s="37" t="s">
        <v>55</v>
      </c>
      <c r="F301" s="37" t="s">
        <v>57</v>
      </c>
      <c r="G301" s="24" t="s">
        <v>56</v>
      </c>
      <c r="H301" s="24">
        <v>8</v>
      </c>
      <c r="J301" s="38">
        <v>46177</v>
      </c>
      <c r="K301" s="38">
        <v>46177</v>
      </c>
    </row>
    <row r="302" spans="2:11" ht="18.75" customHeight="1" x14ac:dyDescent="0.25">
      <c r="B302" s="24" t="s">
        <v>96</v>
      </c>
      <c r="C302" s="37" t="s">
        <v>427</v>
      </c>
      <c r="D302" s="37"/>
      <c r="E302" s="37" t="s">
        <v>55</v>
      </c>
      <c r="F302" s="37" t="s">
        <v>57</v>
      </c>
      <c r="G302" s="24" t="s">
        <v>56</v>
      </c>
      <c r="H302" s="24">
        <v>8</v>
      </c>
      <c r="J302" s="38">
        <v>46181</v>
      </c>
      <c r="K302" s="38">
        <v>46181</v>
      </c>
    </row>
    <row r="303" spans="2:11" ht="18.75" customHeight="1" x14ac:dyDescent="0.25">
      <c r="B303" s="24" t="s">
        <v>96</v>
      </c>
      <c r="C303" s="37" t="s">
        <v>428</v>
      </c>
      <c r="D303" s="37"/>
      <c r="E303" s="37" t="s">
        <v>55</v>
      </c>
      <c r="F303" s="37" t="s">
        <v>57</v>
      </c>
      <c r="G303" s="24" t="s">
        <v>56</v>
      </c>
      <c r="H303" s="24">
        <v>8</v>
      </c>
      <c r="J303" s="38">
        <v>46188</v>
      </c>
      <c r="K303" s="38">
        <v>46188</v>
      </c>
    </row>
    <row r="304" spans="2:11" ht="18.75" customHeight="1" x14ac:dyDescent="0.25">
      <c r="B304" s="24" t="s">
        <v>96</v>
      </c>
      <c r="C304" s="37" t="s">
        <v>429</v>
      </c>
      <c r="D304" s="37"/>
      <c r="E304" s="37" t="s">
        <v>55</v>
      </c>
      <c r="F304" s="37" t="s">
        <v>57</v>
      </c>
      <c r="G304" s="24" t="s">
        <v>56</v>
      </c>
      <c r="H304" s="24">
        <v>8</v>
      </c>
      <c r="J304" s="38">
        <v>46195</v>
      </c>
      <c r="K304" s="38">
        <v>46195</v>
      </c>
    </row>
    <row r="305" spans="2:11" ht="18.75" customHeight="1" x14ac:dyDescent="0.25">
      <c r="B305" s="24" t="s">
        <v>96</v>
      </c>
      <c r="C305" s="37" t="s">
        <v>430</v>
      </c>
      <c r="D305" s="37"/>
      <c r="E305" s="37" t="s">
        <v>55</v>
      </c>
      <c r="F305" s="37" t="s">
        <v>57</v>
      </c>
      <c r="G305" s="24" t="s">
        <v>56</v>
      </c>
      <c r="H305" s="24">
        <v>8</v>
      </c>
      <c r="J305" s="38">
        <v>46202</v>
      </c>
      <c r="K305" s="38">
        <v>46202</v>
      </c>
    </row>
    <row r="306" spans="2:11" ht="18.75" customHeight="1" x14ac:dyDescent="0.25">
      <c r="B306" s="24" t="s">
        <v>96</v>
      </c>
      <c r="C306" s="37" t="s">
        <v>431</v>
      </c>
      <c r="D306" s="37"/>
      <c r="E306" s="37" t="s">
        <v>55</v>
      </c>
      <c r="F306" s="37" t="s">
        <v>57</v>
      </c>
      <c r="G306" s="24" t="s">
        <v>56</v>
      </c>
      <c r="H306" s="24">
        <v>8</v>
      </c>
      <c r="J306" s="38">
        <v>46177</v>
      </c>
      <c r="K306" s="38">
        <v>46177</v>
      </c>
    </row>
    <row r="307" spans="2:11" ht="18.75" customHeight="1" x14ac:dyDescent="0.25">
      <c r="B307" s="24" t="s">
        <v>96</v>
      </c>
      <c r="C307" s="37" t="s">
        <v>432</v>
      </c>
      <c r="D307" s="37"/>
      <c r="E307" s="37" t="s">
        <v>55</v>
      </c>
      <c r="F307" s="37" t="s">
        <v>57</v>
      </c>
      <c r="G307" s="24" t="s">
        <v>56</v>
      </c>
      <c r="H307" s="24">
        <v>8</v>
      </c>
      <c r="J307" s="38">
        <v>46181</v>
      </c>
      <c r="K307" s="38">
        <v>46181</v>
      </c>
    </row>
    <row r="308" spans="2:11" ht="18.75" customHeight="1" x14ac:dyDescent="0.25">
      <c r="B308" s="24" t="s">
        <v>96</v>
      </c>
      <c r="C308" s="37" t="s">
        <v>433</v>
      </c>
      <c r="D308" s="37"/>
      <c r="E308" s="37" t="s">
        <v>55</v>
      </c>
      <c r="F308" s="37" t="s">
        <v>57</v>
      </c>
      <c r="G308" s="24" t="s">
        <v>56</v>
      </c>
      <c r="H308" s="24">
        <v>8</v>
      </c>
      <c r="J308" s="38">
        <v>46188</v>
      </c>
      <c r="K308" s="38">
        <v>46188</v>
      </c>
    </row>
    <row r="309" spans="2:11" ht="18.75" customHeight="1" x14ac:dyDescent="0.25">
      <c r="B309" s="24" t="s">
        <v>96</v>
      </c>
      <c r="C309" s="37" t="s">
        <v>434</v>
      </c>
      <c r="D309" s="37"/>
      <c r="E309" s="37" t="s">
        <v>55</v>
      </c>
      <c r="F309" s="37" t="s">
        <v>57</v>
      </c>
      <c r="G309" s="24" t="s">
        <v>56</v>
      </c>
      <c r="H309" s="24">
        <v>8</v>
      </c>
      <c r="J309" s="38">
        <v>46195</v>
      </c>
      <c r="K309" s="38">
        <v>46195</v>
      </c>
    </row>
    <row r="310" spans="2:11" ht="18.75" customHeight="1" x14ac:dyDescent="0.25">
      <c r="B310" s="24" t="s">
        <v>96</v>
      </c>
      <c r="C310" s="37" t="s">
        <v>435</v>
      </c>
      <c r="D310" s="37"/>
      <c r="E310" s="37" t="s">
        <v>55</v>
      </c>
      <c r="F310" s="37" t="s">
        <v>57</v>
      </c>
      <c r="G310" s="24" t="s">
        <v>56</v>
      </c>
      <c r="H310" s="24">
        <v>8</v>
      </c>
      <c r="J310" s="38">
        <v>46202</v>
      </c>
      <c r="K310" s="38">
        <v>46202</v>
      </c>
    </row>
    <row r="311" spans="2:11" ht="18.75" customHeight="1" x14ac:dyDescent="0.25">
      <c r="B311" s="24" t="s">
        <v>96</v>
      </c>
      <c r="C311" s="37" t="s">
        <v>436</v>
      </c>
      <c r="D311" s="37"/>
      <c r="E311" s="37" t="s">
        <v>55</v>
      </c>
      <c r="F311" s="37" t="s">
        <v>57</v>
      </c>
      <c r="G311" s="24" t="s">
        <v>56</v>
      </c>
      <c r="H311" s="24">
        <v>8</v>
      </c>
      <c r="J311" s="38">
        <v>46177</v>
      </c>
      <c r="K311" s="38">
        <v>46177</v>
      </c>
    </row>
    <row r="312" spans="2:11" ht="18.75" customHeight="1" x14ac:dyDescent="0.25">
      <c r="B312" s="24" t="s">
        <v>96</v>
      </c>
      <c r="C312" s="37" t="s">
        <v>437</v>
      </c>
      <c r="D312" s="37"/>
      <c r="E312" s="37" t="s">
        <v>55</v>
      </c>
      <c r="F312" s="37" t="s">
        <v>57</v>
      </c>
      <c r="G312" s="24" t="s">
        <v>56</v>
      </c>
      <c r="H312" s="24">
        <v>8</v>
      </c>
      <c r="J312" s="38">
        <v>46181</v>
      </c>
      <c r="K312" s="38">
        <v>46181</v>
      </c>
    </row>
    <row r="313" spans="2:11" ht="18.75" customHeight="1" x14ac:dyDescent="0.25">
      <c r="B313" s="24" t="s">
        <v>96</v>
      </c>
      <c r="C313" s="37" t="s">
        <v>438</v>
      </c>
      <c r="D313" s="37"/>
      <c r="E313" s="37" t="s">
        <v>55</v>
      </c>
      <c r="F313" s="37" t="s">
        <v>57</v>
      </c>
      <c r="G313" s="24" t="s">
        <v>56</v>
      </c>
      <c r="H313" s="24">
        <v>8</v>
      </c>
      <c r="J313" s="38">
        <v>46188</v>
      </c>
      <c r="K313" s="38">
        <v>46188</v>
      </c>
    </row>
    <row r="314" spans="2:11" ht="18.75" customHeight="1" x14ac:dyDescent="0.25">
      <c r="B314" s="24" t="s">
        <v>96</v>
      </c>
      <c r="C314" s="37" t="s">
        <v>439</v>
      </c>
      <c r="D314" s="37"/>
      <c r="E314" s="37" t="s">
        <v>55</v>
      </c>
      <c r="F314" s="37" t="s">
        <v>57</v>
      </c>
      <c r="G314" s="24" t="s">
        <v>56</v>
      </c>
      <c r="H314" s="24">
        <v>8</v>
      </c>
      <c r="J314" s="38">
        <v>46195</v>
      </c>
      <c r="K314" s="38">
        <v>46195</v>
      </c>
    </row>
    <row r="315" spans="2:11" ht="18.75" customHeight="1" x14ac:dyDescent="0.25">
      <c r="B315" s="24" t="s">
        <v>96</v>
      </c>
      <c r="C315" s="37" t="s">
        <v>440</v>
      </c>
      <c r="D315" s="37"/>
      <c r="E315" s="37" t="s">
        <v>55</v>
      </c>
      <c r="F315" s="37" t="s">
        <v>57</v>
      </c>
      <c r="G315" s="24" t="s">
        <v>56</v>
      </c>
      <c r="H315" s="24">
        <v>8</v>
      </c>
      <c r="J315" s="38">
        <v>46202</v>
      </c>
      <c r="K315" s="38">
        <v>46202</v>
      </c>
    </row>
    <row r="316" spans="2:11" ht="18.75" customHeight="1" x14ac:dyDescent="0.25">
      <c r="B316" s="24" t="s">
        <v>96</v>
      </c>
      <c r="C316" s="37" t="s">
        <v>441</v>
      </c>
      <c r="D316" s="37"/>
      <c r="E316" s="37" t="s">
        <v>55</v>
      </c>
      <c r="F316" s="37" t="s">
        <v>57</v>
      </c>
      <c r="G316" s="24" t="s">
        <v>56</v>
      </c>
      <c r="H316" s="24">
        <v>8</v>
      </c>
      <c r="J316" s="38">
        <v>46177</v>
      </c>
      <c r="K316" s="38">
        <v>46177</v>
      </c>
    </row>
    <row r="317" spans="2:11" ht="18.75" customHeight="1" x14ac:dyDescent="0.25">
      <c r="B317" s="24" t="s">
        <v>96</v>
      </c>
      <c r="C317" s="37" t="s">
        <v>442</v>
      </c>
      <c r="D317" s="37"/>
      <c r="E317" s="37" t="s">
        <v>55</v>
      </c>
      <c r="F317" s="37" t="s">
        <v>57</v>
      </c>
      <c r="G317" s="24" t="s">
        <v>56</v>
      </c>
      <c r="H317" s="24">
        <v>8</v>
      </c>
      <c r="J317" s="38">
        <v>46182</v>
      </c>
      <c r="K317" s="38">
        <v>46182</v>
      </c>
    </row>
    <row r="318" spans="2:11" ht="18.75" customHeight="1" x14ac:dyDescent="0.25">
      <c r="B318" s="24" t="s">
        <v>96</v>
      </c>
      <c r="C318" s="37" t="s">
        <v>443</v>
      </c>
      <c r="D318" s="37"/>
      <c r="E318" s="37" t="s">
        <v>55</v>
      </c>
      <c r="F318" s="37" t="s">
        <v>57</v>
      </c>
      <c r="G318" s="24" t="s">
        <v>56</v>
      </c>
      <c r="H318" s="24">
        <v>8</v>
      </c>
      <c r="J318" s="38">
        <v>46189</v>
      </c>
      <c r="K318" s="38">
        <v>46189</v>
      </c>
    </row>
    <row r="319" spans="2:11" ht="18.75" customHeight="1" x14ac:dyDescent="0.25">
      <c r="B319" s="24" t="s">
        <v>96</v>
      </c>
      <c r="C319" s="37" t="s">
        <v>444</v>
      </c>
      <c r="D319" s="37"/>
      <c r="E319" s="37" t="s">
        <v>55</v>
      </c>
      <c r="F319" s="37" t="s">
        <v>57</v>
      </c>
      <c r="G319" s="24" t="s">
        <v>56</v>
      </c>
      <c r="H319" s="24">
        <v>8</v>
      </c>
      <c r="J319" s="38">
        <v>46196</v>
      </c>
      <c r="K319" s="38">
        <v>46196</v>
      </c>
    </row>
    <row r="320" spans="2:11" ht="18.75" customHeight="1" x14ac:dyDescent="0.25">
      <c r="B320" s="24" t="s">
        <v>96</v>
      </c>
      <c r="C320" s="37" t="s">
        <v>445</v>
      </c>
      <c r="D320" s="37"/>
      <c r="E320" s="37" t="s">
        <v>55</v>
      </c>
      <c r="F320" s="37" t="s">
        <v>57</v>
      </c>
      <c r="G320" s="24" t="s">
        <v>56</v>
      </c>
      <c r="H320" s="24">
        <v>8</v>
      </c>
      <c r="J320" s="38">
        <v>46203</v>
      </c>
      <c r="K320" s="38">
        <v>46203</v>
      </c>
    </row>
    <row r="321" spans="2:11" ht="18.75" customHeight="1" x14ac:dyDescent="0.25">
      <c r="B321" s="24" t="s">
        <v>96</v>
      </c>
      <c r="C321" s="37" t="s">
        <v>446</v>
      </c>
      <c r="D321" s="37" t="s">
        <v>48</v>
      </c>
      <c r="E321" s="37" t="s">
        <v>55</v>
      </c>
      <c r="F321" s="37" t="s">
        <v>57</v>
      </c>
      <c r="G321" s="24" t="s">
        <v>56</v>
      </c>
      <c r="H321" s="24">
        <v>12</v>
      </c>
      <c r="J321" s="38">
        <v>46177</v>
      </c>
      <c r="K321" s="38">
        <v>46177</v>
      </c>
    </row>
    <row r="322" spans="2:11" ht="18.75" customHeight="1" x14ac:dyDescent="0.25">
      <c r="B322" s="24" t="s">
        <v>96</v>
      </c>
      <c r="C322" s="37" t="s">
        <v>447</v>
      </c>
      <c r="D322" s="37" t="s">
        <v>48</v>
      </c>
      <c r="E322" s="37" t="s">
        <v>55</v>
      </c>
      <c r="F322" s="37" t="s">
        <v>57</v>
      </c>
      <c r="G322" s="24" t="s">
        <v>56</v>
      </c>
      <c r="H322" s="24">
        <v>12</v>
      </c>
      <c r="J322" s="38">
        <v>46182</v>
      </c>
      <c r="K322" s="38">
        <v>46182</v>
      </c>
    </row>
    <row r="323" spans="2:11" ht="18.75" customHeight="1" x14ac:dyDescent="0.25">
      <c r="B323" s="24" t="s">
        <v>96</v>
      </c>
      <c r="C323" s="37" t="s">
        <v>448</v>
      </c>
      <c r="D323" s="37" t="s">
        <v>48</v>
      </c>
      <c r="E323" s="37" t="s">
        <v>55</v>
      </c>
      <c r="F323" s="37" t="s">
        <v>57</v>
      </c>
      <c r="G323" s="24" t="s">
        <v>56</v>
      </c>
      <c r="H323" s="24">
        <v>12</v>
      </c>
      <c r="J323" s="38">
        <v>46189</v>
      </c>
      <c r="K323" s="38">
        <v>46189</v>
      </c>
    </row>
    <row r="324" spans="2:11" ht="18.75" customHeight="1" x14ac:dyDescent="0.25">
      <c r="B324" s="24" t="s">
        <v>96</v>
      </c>
      <c r="C324" s="37" t="s">
        <v>449</v>
      </c>
      <c r="D324" s="37" t="s">
        <v>48</v>
      </c>
      <c r="E324" s="37" t="s">
        <v>55</v>
      </c>
      <c r="F324" s="37" t="s">
        <v>57</v>
      </c>
      <c r="G324" s="24" t="s">
        <v>56</v>
      </c>
      <c r="H324" s="24">
        <v>12</v>
      </c>
      <c r="J324" s="38">
        <v>46196</v>
      </c>
      <c r="K324" s="38">
        <v>46196</v>
      </c>
    </row>
    <row r="325" spans="2:11" ht="18.75" customHeight="1" x14ac:dyDescent="0.25">
      <c r="B325" s="24" t="s">
        <v>96</v>
      </c>
      <c r="C325" s="37" t="s">
        <v>450</v>
      </c>
      <c r="D325" s="37" t="s">
        <v>48</v>
      </c>
      <c r="E325" s="37" t="s">
        <v>55</v>
      </c>
      <c r="F325" s="37" t="s">
        <v>57</v>
      </c>
      <c r="G325" s="24" t="s">
        <v>56</v>
      </c>
      <c r="H325" s="24">
        <v>12</v>
      </c>
      <c r="J325" s="38">
        <v>46203</v>
      </c>
      <c r="K325" s="38">
        <v>46203</v>
      </c>
    </row>
    <row r="326" spans="2:11" ht="18.75" customHeight="1" x14ac:dyDescent="0.25">
      <c r="B326" s="24" t="s">
        <v>96</v>
      </c>
      <c r="C326" s="37" t="s">
        <v>451</v>
      </c>
      <c r="D326" s="37"/>
      <c r="E326" s="37" t="s">
        <v>55</v>
      </c>
      <c r="F326" s="37" t="s">
        <v>57</v>
      </c>
      <c r="G326" s="24" t="s">
        <v>56</v>
      </c>
      <c r="H326" s="24">
        <v>8</v>
      </c>
      <c r="J326" s="38">
        <v>46177</v>
      </c>
      <c r="K326" s="38">
        <v>46177</v>
      </c>
    </row>
    <row r="327" spans="2:11" ht="18.75" customHeight="1" x14ac:dyDescent="0.25">
      <c r="B327" s="24" t="s">
        <v>96</v>
      </c>
      <c r="C327" s="37" t="s">
        <v>452</v>
      </c>
      <c r="D327" s="37"/>
      <c r="E327" s="37" t="s">
        <v>55</v>
      </c>
      <c r="F327" s="37" t="s">
        <v>57</v>
      </c>
      <c r="G327" s="24" t="s">
        <v>56</v>
      </c>
      <c r="H327" s="24">
        <v>8</v>
      </c>
      <c r="J327" s="38">
        <v>46183</v>
      </c>
      <c r="K327" s="38">
        <v>46183</v>
      </c>
    </row>
    <row r="328" spans="2:11" ht="18.75" customHeight="1" x14ac:dyDescent="0.25">
      <c r="B328" s="24" t="s">
        <v>96</v>
      </c>
      <c r="C328" s="37" t="s">
        <v>453</v>
      </c>
      <c r="D328" s="37"/>
      <c r="E328" s="37" t="s">
        <v>55</v>
      </c>
      <c r="F328" s="37" t="s">
        <v>57</v>
      </c>
      <c r="G328" s="24" t="s">
        <v>56</v>
      </c>
      <c r="H328" s="24">
        <v>8</v>
      </c>
      <c r="J328" s="38">
        <v>46190</v>
      </c>
      <c r="K328" s="38">
        <v>46190</v>
      </c>
    </row>
    <row r="329" spans="2:11" ht="18.75" customHeight="1" x14ac:dyDescent="0.25">
      <c r="B329" s="24" t="s">
        <v>96</v>
      </c>
      <c r="C329" s="37" t="s">
        <v>454</v>
      </c>
      <c r="D329" s="37"/>
      <c r="E329" s="37" t="s">
        <v>55</v>
      </c>
      <c r="F329" s="37" t="s">
        <v>57</v>
      </c>
      <c r="G329" s="24" t="s">
        <v>56</v>
      </c>
      <c r="H329" s="24">
        <v>8</v>
      </c>
      <c r="J329" s="38">
        <v>46197</v>
      </c>
      <c r="K329" s="38">
        <v>46197</v>
      </c>
    </row>
    <row r="330" spans="2:11" ht="18.75" customHeight="1" x14ac:dyDescent="0.25">
      <c r="B330" s="24" t="s">
        <v>96</v>
      </c>
      <c r="C330" s="37" t="s">
        <v>455</v>
      </c>
      <c r="D330" s="37"/>
      <c r="E330" s="37" t="s">
        <v>55</v>
      </c>
      <c r="F330" s="37" t="s">
        <v>57</v>
      </c>
      <c r="G330" s="24" t="s">
        <v>56</v>
      </c>
      <c r="H330" s="24">
        <v>8</v>
      </c>
      <c r="J330" s="38">
        <v>46177</v>
      </c>
      <c r="K330" s="38">
        <v>46177</v>
      </c>
    </row>
    <row r="331" spans="2:11" ht="18.75" customHeight="1" x14ac:dyDescent="0.25">
      <c r="B331" s="24" t="s">
        <v>96</v>
      </c>
      <c r="C331" s="37" t="s">
        <v>456</v>
      </c>
      <c r="D331" s="37"/>
      <c r="E331" s="37" t="s">
        <v>55</v>
      </c>
      <c r="F331" s="37" t="s">
        <v>57</v>
      </c>
      <c r="G331" s="24" t="s">
        <v>56</v>
      </c>
      <c r="H331" s="24">
        <v>8</v>
      </c>
      <c r="J331" s="38">
        <v>46183</v>
      </c>
      <c r="K331" s="38">
        <v>46183</v>
      </c>
    </row>
    <row r="332" spans="2:11" ht="18.75" customHeight="1" x14ac:dyDescent="0.25">
      <c r="B332" s="24" t="s">
        <v>96</v>
      </c>
      <c r="C332" s="37" t="s">
        <v>457</v>
      </c>
      <c r="D332" s="37"/>
      <c r="E332" s="37" t="s">
        <v>55</v>
      </c>
      <c r="F332" s="37" t="s">
        <v>57</v>
      </c>
      <c r="G332" s="24" t="s">
        <v>56</v>
      </c>
      <c r="H332" s="24">
        <v>8</v>
      </c>
      <c r="J332" s="38">
        <v>46190</v>
      </c>
      <c r="K332" s="38">
        <v>46190</v>
      </c>
    </row>
    <row r="333" spans="2:11" ht="18.75" customHeight="1" x14ac:dyDescent="0.25">
      <c r="B333" s="24" t="s">
        <v>96</v>
      </c>
      <c r="C333" s="37" t="s">
        <v>458</v>
      </c>
      <c r="D333" s="37"/>
      <c r="E333" s="37" t="s">
        <v>55</v>
      </c>
      <c r="F333" s="37" t="s">
        <v>57</v>
      </c>
      <c r="G333" s="24" t="s">
        <v>56</v>
      </c>
      <c r="H333" s="24">
        <v>8</v>
      </c>
      <c r="J333" s="38">
        <v>46197</v>
      </c>
      <c r="K333" s="38">
        <v>46197</v>
      </c>
    </row>
    <row r="334" spans="2:11" ht="18.75" customHeight="1" x14ac:dyDescent="0.25">
      <c r="B334" s="24" t="s">
        <v>96</v>
      </c>
      <c r="C334" s="37" t="s">
        <v>459</v>
      </c>
      <c r="D334" s="37"/>
      <c r="E334" s="37" t="s">
        <v>55</v>
      </c>
      <c r="F334" s="37" t="s">
        <v>57</v>
      </c>
      <c r="G334" s="24" t="s">
        <v>56</v>
      </c>
      <c r="H334" s="24">
        <v>6</v>
      </c>
      <c r="J334" s="38">
        <v>46177</v>
      </c>
      <c r="K334" s="38">
        <v>46177</v>
      </c>
    </row>
    <row r="335" spans="2:11" ht="18.75" customHeight="1" x14ac:dyDescent="0.25">
      <c r="B335" s="24" t="s">
        <v>96</v>
      </c>
      <c r="C335" s="37" t="s">
        <v>460</v>
      </c>
      <c r="D335" s="37"/>
      <c r="E335" s="37" t="s">
        <v>55</v>
      </c>
      <c r="F335" s="37" t="s">
        <v>57</v>
      </c>
      <c r="G335" s="24" t="s">
        <v>56</v>
      </c>
      <c r="H335" s="24">
        <v>6</v>
      </c>
      <c r="J335" s="38">
        <v>46183</v>
      </c>
      <c r="K335" s="38">
        <v>46183</v>
      </c>
    </row>
    <row r="336" spans="2:11" ht="18.75" customHeight="1" x14ac:dyDescent="0.25">
      <c r="B336" s="24" t="s">
        <v>96</v>
      </c>
      <c r="C336" s="37" t="s">
        <v>461</v>
      </c>
      <c r="D336" s="37"/>
      <c r="E336" s="37" t="s">
        <v>55</v>
      </c>
      <c r="F336" s="37" t="s">
        <v>57</v>
      </c>
      <c r="G336" s="24" t="s">
        <v>56</v>
      </c>
      <c r="H336" s="24">
        <v>6</v>
      </c>
      <c r="J336" s="38">
        <v>46190</v>
      </c>
      <c r="K336" s="38">
        <v>46190</v>
      </c>
    </row>
    <row r="337" spans="2:11" ht="18.75" customHeight="1" x14ac:dyDescent="0.25">
      <c r="B337" s="24" t="s">
        <v>96</v>
      </c>
      <c r="C337" s="37" t="s">
        <v>462</v>
      </c>
      <c r="D337" s="37"/>
      <c r="E337" s="37" t="s">
        <v>55</v>
      </c>
      <c r="F337" s="37" t="s">
        <v>57</v>
      </c>
      <c r="G337" s="24" t="s">
        <v>56</v>
      </c>
      <c r="H337" s="24">
        <v>6</v>
      </c>
      <c r="J337" s="38">
        <v>46197</v>
      </c>
      <c r="K337" s="38">
        <v>46197</v>
      </c>
    </row>
    <row r="338" spans="2:11" ht="18.75" customHeight="1" x14ac:dyDescent="0.25">
      <c r="B338" s="24" t="s">
        <v>96</v>
      </c>
      <c r="C338" s="37" t="s">
        <v>463</v>
      </c>
      <c r="D338" s="37"/>
      <c r="E338" s="37" t="s">
        <v>55</v>
      </c>
      <c r="F338" s="37" t="s">
        <v>57</v>
      </c>
      <c r="G338" s="24" t="s">
        <v>56</v>
      </c>
      <c r="H338" s="24">
        <v>20</v>
      </c>
      <c r="J338" s="38">
        <v>46177</v>
      </c>
      <c r="K338" s="38">
        <v>46177</v>
      </c>
    </row>
    <row r="339" spans="2:11" ht="18.75" customHeight="1" x14ac:dyDescent="0.25">
      <c r="B339" s="24" t="s">
        <v>96</v>
      </c>
      <c r="C339" s="37" t="s">
        <v>464</v>
      </c>
      <c r="D339" s="37"/>
      <c r="E339" s="37" t="s">
        <v>55</v>
      </c>
      <c r="F339" s="37" t="s">
        <v>57</v>
      </c>
      <c r="G339" s="24" t="s">
        <v>56</v>
      </c>
      <c r="H339" s="24">
        <v>20</v>
      </c>
      <c r="J339" s="38">
        <v>46184</v>
      </c>
      <c r="K339" s="38">
        <v>46184</v>
      </c>
    </row>
    <row r="340" spans="2:11" ht="18.75" customHeight="1" x14ac:dyDescent="0.25">
      <c r="B340" s="24" t="s">
        <v>96</v>
      </c>
      <c r="C340" s="37" t="s">
        <v>465</v>
      </c>
      <c r="D340" s="37"/>
      <c r="E340" s="37" t="s">
        <v>55</v>
      </c>
      <c r="F340" s="37" t="s">
        <v>57</v>
      </c>
      <c r="G340" s="24" t="s">
        <v>56</v>
      </c>
      <c r="H340" s="24">
        <v>20</v>
      </c>
      <c r="J340" s="38">
        <v>46191</v>
      </c>
      <c r="K340" s="38">
        <v>46191</v>
      </c>
    </row>
    <row r="341" spans="2:11" ht="18.75" customHeight="1" x14ac:dyDescent="0.25">
      <c r="B341" s="24" t="s">
        <v>96</v>
      </c>
      <c r="C341" s="37" t="s">
        <v>466</v>
      </c>
      <c r="D341" s="37"/>
      <c r="E341" s="37" t="s">
        <v>55</v>
      </c>
      <c r="F341" s="37" t="s">
        <v>57</v>
      </c>
      <c r="G341" s="24" t="s">
        <v>56</v>
      </c>
      <c r="H341" s="24">
        <v>20</v>
      </c>
      <c r="J341" s="38">
        <v>46198</v>
      </c>
      <c r="K341" s="38">
        <v>46198</v>
      </c>
    </row>
    <row r="342" spans="2:11" ht="18.75" customHeight="1" x14ac:dyDescent="0.25">
      <c r="B342" s="24" t="s">
        <v>96</v>
      </c>
      <c r="C342" s="37" t="s">
        <v>467</v>
      </c>
      <c r="D342" s="37"/>
      <c r="E342" s="37" t="s">
        <v>55</v>
      </c>
      <c r="F342" s="37" t="s">
        <v>57</v>
      </c>
      <c r="G342" s="24" t="s">
        <v>56</v>
      </c>
      <c r="H342" s="24">
        <v>8</v>
      </c>
      <c r="J342" s="38">
        <v>46177</v>
      </c>
      <c r="K342" s="38">
        <v>46177</v>
      </c>
    </row>
    <row r="343" spans="2:11" ht="18.75" customHeight="1" x14ac:dyDescent="0.25">
      <c r="B343" s="24" t="s">
        <v>96</v>
      </c>
      <c r="C343" s="37" t="s">
        <v>468</v>
      </c>
      <c r="D343" s="37"/>
      <c r="E343" s="37" t="s">
        <v>55</v>
      </c>
      <c r="F343" s="37" t="s">
        <v>57</v>
      </c>
      <c r="G343" s="24" t="s">
        <v>56</v>
      </c>
      <c r="H343" s="24">
        <v>8</v>
      </c>
      <c r="J343" s="38">
        <v>46184</v>
      </c>
      <c r="K343" s="38">
        <v>46184</v>
      </c>
    </row>
    <row r="344" spans="2:11" ht="18.75" customHeight="1" x14ac:dyDescent="0.25">
      <c r="B344" s="24" t="s">
        <v>96</v>
      </c>
      <c r="C344" s="37" t="s">
        <v>469</v>
      </c>
      <c r="D344" s="37"/>
      <c r="E344" s="37" t="s">
        <v>55</v>
      </c>
      <c r="F344" s="37" t="s">
        <v>57</v>
      </c>
      <c r="G344" s="24" t="s">
        <v>56</v>
      </c>
      <c r="H344" s="24">
        <v>8</v>
      </c>
      <c r="J344" s="38">
        <v>46191</v>
      </c>
      <c r="K344" s="38">
        <v>46191</v>
      </c>
    </row>
    <row r="345" spans="2:11" ht="18.75" customHeight="1" x14ac:dyDescent="0.25">
      <c r="B345" s="24" t="s">
        <v>96</v>
      </c>
      <c r="C345" s="37" t="s">
        <v>470</v>
      </c>
      <c r="D345" s="37"/>
      <c r="E345" s="37" t="s">
        <v>55</v>
      </c>
      <c r="F345" s="37" t="s">
        <v>57</v>
      </c>
      <c r="G345" s="24" t="s">
        <v>56</v>
      </c>
      <c r="H345" s="24">
        <v>8</v>
      </c>
      <c r="J345" s="38">
        <v>46198</v>
      </c>
      <c r="K345" s="38">
        <v>46198</v>
      </c>
    </row>
    <row r="346" spans="2:11" ht="18.75" customHeight="1" x14ac:dyDescent="0.25">
      <c r="B346" s="24" t="s">
        <v>96</v>
      </c>
      <c r="C346" s="37" t="s">
        <v>471</v>
      </c>
      <c r="D346" s="37"/>
      <c r="E346" s="37" t="s">
        <v>55</v>
      </c>
      <c r="F346" s="37" t="s">
        <v>57</v>
      </c>
      <c r="G346" s="24" t="s">
        <v>56</v>
      </c>
      <c r="H346" s="24">
        <v>12</v>
      </c>
      <c r="J346" s="38">
        <v>46178</v>
      </c>
      <c r="K346" s="38">
        <v>46178</v>
      </c>
    </row>
    <row r="347" spans="2:11" ht="18.75" customHeight="1" x14ac:dyDescent="0.25">
      <c r="B347" s="24" t="s">
        <v>96</v>
      </c>
      <c r="C347" s="37" t="s">
        <v>472</v>
      </c>
      <c r="D347" s="37"/>
      <c r="E347" s="37" t="s">
        <v>55</v>
      </c>
      <c r="F347" s="37" t="s">
        <v>57</v>
      </c>
      <c r="G347" s="24" t="s">
        <v>56</v>
      </c>
      <c r="H347" s="24">
        <v>12</v>
      </c>
      <c r="J347" s="38">
        <v>46185</v>
      </c>
      <c r="K347" s="38">
        <v>46185</v>
      </c>
    </row>
    <row r="348" spans="2:11" ht="18.75" customHeight="1" x14ac:dyDescent="0.25">
      <c r="B348" s="24" t="s">
        <v>96</v>
      </c>
      <c r="C348" s="37" t="s">
        <v>473</v>
      </c>
      <c r="D348" s="37"/>
      <c r="E348" s="37" t="s">
        <v>55</v>
      </c>
      <c r="F348" s="37" t="s">
        <v>57</v>
      </c>
      <c r="G348" s="24" t="s">
        <v>56</v>
      </c>
      <c r="H348" s="24">
        <v>12</v>
      </c>
      <c r="J348" s="38">
        <v>46192</v>
      </c>
      <c r="K348" s="38">
        <v>46192</v>
      </c>
    </row>
    <row r="349" spans="2:11" ht="18.75" customHeight="1" x14ac:dyDescent="0.25">
      <c r="B349" s="24" t="s">
        <v>96</v>
      </c>
      <c r="C349" s="37" t="s">
        <v>474</v>
      </c>
      <c r="D349" s="37"/>
      <c r="E349" s="37" t="s">
        <v>55</v>
      </c>
      <c r="F349" s="37" t="s">
        <v>57</v>
      </c>
      <c r="G349" s="24" t="s">
        <v>56</v>
      </c>
      <c r="H349" s="24">
        <v>12</v>
      </c>
      <c r="J349" s="38">
        <v>46199</v>
      </c>
      <c r="K349" s="38">
        <v>46199</v>
      </c>
    </row>
    <row r="350" spans="2:11" ht="18.75" customHeight="1" x14ac:dyDescent="0.25">
      <c r="B350" s="24" t="s">
        <v>96</v>
      </c>
      <c r="C350" s="37" t="s">
        <v>475</v>
      </c>
      <c r="D350" s="37"/>
      <c r="E350" s="37" t="s">
        <v>55</v>
      </c>
      <c r="F350" s="37" t="s">
        <v>57</v>
      </c>
      <c r="G350" s="24" t="s">
        <v>56</v>
      </c>
      <c r="H350" s="24">
        <v>20</v>
      </c>
      <c r="J350" s="38">
        <v>46178</v>
      </c>
      <c r="K350" s="38">
        <v>46178</v>
      </c>
    </row>
    <row r="351" spans="2:11" ht="18.75" customHeight="1" x14ac:dyDescent="0.25">
      <c r="B351" s="24" t="s">
        <v>96</v>
      </c>
      <c r="C351" s="37" t="s">
        <v>476</v>
      </c>
      <c r="D351" s="37"/>
      <c r="E351" s="37" t="s">
        <v>55</v>
      </c>
      <c r="F351" s="37" t="s">
        <v>57</v>
      </c>
      <c r="G351" s="24" t="s">
        <v>56</v>
      </c>
      <c r="H351" s="24">
        <v>20</v>
      </c>
      <c r="J351" s="38">
        <v>46185</v>
      </c>
      <c r="K351" s="38">
        <v>46185</v>
      </c>
    </row>
    <row r="352" spans="2:11" ht="18.75" customHeight="1" x14ac:dyDescent="0.25">
      <c r="B352" s="24" t="s">
        <v>96</v>
      </c>
      <c r="C352" s="37" t="s">
        <v>477</v>
      </c>
      <c r="D352" s="37"/>
      <c r="E352" s="37" t="s">
        <v>55</v>
      </c>
      <c r="F352" s="37" t="s">
        <v>57</v>
      </c>
      <c r="G352" s="24" t="s">
        <v>56</v>
      </c>
      <c r="H352" s="24">
        <v>20</v>
      </c>
      <c r="J352" s="38">
        <v>46192</v>
      </c>
      <c r="K352" s="38">
        <v>46192</v>
      </c>
    </row>
    <row r="353" spans="2:11" ht="18.75" customHeight="1" x14ac:dyDescent="0.25">
      <c r="B353" s="24" t="s">
        <v>96</v>
      </c>
      <c r="C353" s="37" t="s">
        <v>478</v>
      </c>
      <c r="D353" s="37"/>
      <c r="E353" s="37" t="s">
        <v>55</v>
      </c>
      <c r="F353" s="37" t="s">
        <v>57</v>
      </c>
      <c r="G353" s="24" t="s">
        <v>56</v>
      </c>
      <c r="H353" s="24">
        <v>20</v>
      </c>
      <c r="J353" s="38">
        <v>46199</v>
      </c>
      <c r="K353" s="38">
        <v>46199</v>
      </c>
    </row>
    <row r="354" spans="2:11" ht="18.75" customHeight="1" x14ac:dyDescent="0.25">
      <c r="B354" s="24" t="s">
        <v>97</v>
      </c>
      <c r="C354" s="37" t="s">
        <v>479</v>
      </c>
      <c r="D354" s="37"/>
      <c r="E354" s="37" t="s">
        <v>55</v>
      </c>
      <c r="F354" s="37" t="s">
        <v>57</v>
      </c>
      <c r="G354" s="24" t="s">
        <v>56</v>
      </c>
      <c r="H354" s="24">
        <v>15</v>
      </c>
      <c r="J354" s="38">
        <v>46177</v>
      </c>
      <c r="K354" s="38">
        <v>46177</v>
      </c>
    </row>
    <row r="355" spans="2:11" ht="18.75" customHeight="1" x14ac:dyDescent="0.25">
      <c r="B355" s="24" t="s">
        <v>97</v>
      </c>
      <c r="C355" s="37" t="s">
        <v>480</v>
      </c>
      <c r="D355" s="37"/>
      <c r="E355" s="37" t="s">
        <v>55</v>
      </c>
      <c r="F355" s="37" t="s">
        <v>57</v>
      </c>
      <c r="G355" s="24" t="s">
        <v>56</v>
      </c>
      <c r="H355" s="24">
        <v>30</v>
      </c>
      <c r="J355" s="38">
        <v>46177</v>
      </c>
      <c r="K355" s="38">
        <v>46177</v>
      </c>
    </row>
    <row r="356" spans="2:11" ht="18.75" customHeight="1" x14ac:dyDescent="0.25">
      <c r="B356" s="24" t="s">
        <v>97</v>
      </c>
      <c r="C356" s="37" t="s">
        <v>481</v>
      </c>
      <c r="D356" s="37"/>
      <c r="E356" s="37" t="s">
        <v>55</v>
      </c>
      <c r="F356" s="37" t="s">
        <v>57</v>
      </c>
      <c r="G356" s="24" t="s">
        <v>56</v>
      </c>
      <c r="H356" s="24">
        <v>30</v>
      </c>
      <c r="J356" s="38">
        <v>46177</v>
      </c>
      <c r="K356" s="38">
        <v>46177</v>
      </c>
    </row>
    <row r="357" spans="2:11" ht="18.75" customHeight="1" x14ac:dyDescent="0.25">
      <c r="B357" s="24" t="s">
        <v>97</v>
      </c>
      <c r="C357" s="37" t="s">
        <v>482</v>
      </c>
      <c r="D357" s="37"/>
      <c r="E357" s="37" t="s">
        <v>55</v>
      </c>
      <c r="F357" s="37" t="s">
        <v>57</v>
      </c>
      <c r="G357" s="24" t="s">
        <v>56</v>
      </c>
      <c r="H357" s="24">
        <v>2</v>
      </c>
      <c r="J357" s="38">
        <v>46177</v>
      </c>
      <c r="K357" s="38">
        <v>46177</v>
      </c>
    </row>
    <row r="358" spans="2:11" ht="18.75" customHeight="1" x14ac:dyDescent="0.25">
      <c r="B358" s="24" t="s">
        <v>97</v>
      </c>
      <c r="C358" s="37" t="s">
        <v>483</v>
      </c>
      <c r="D358" s="37"/>
      <c r="E358" s="37" t="s">
        <v>55</v>
      </c>
      <c r="F358" s="37" t="s">
        <v>57</v>
      </c>
      <c r="G358" s="24" t="s">
        <v>56</v>
      </c>
      <c r="H358" s="24">
        <v>8</v>
      </c>
      <c r="J358" s="38">
        <v>46188</v>
      </c>
      <c r="K358" s="38">
        <v>46188</v>
      </c>
    </row>
    <row r="359" spans="2:11" ht="18.75" customHeight="1" x14ac:dyDescent="0.25">
      <c r="B359" s="24" t="s">
        <v>97</v>
      </c>
      <c r="C359" s="37" t="s">
        <v>484</v>
      </c>
      <c r="D359" s="37"/>
      <c r="E359" s="37" t="s">
        <v>55</v>
      </c>
      <c r="F359" s="37" t="s">
        <v>57</v>
      </c>
      <c r="G359" s="24" t="s">
        <v>56</v>
      </c>
      <c r="H359" s="24">
        <v>8</v>
      </c>
      <c r="J359" s="38">
        <v>46203</v>
      </c>
      <c r="K359" s="38">
        <v>46203</v>
      </c>
    </row>
    <row r="360" spans="2:11" ht="18.75" customHeight="1" x14ac:dyDescent="0.25">
      <c r="B360" s="24" t="s">
        <v>97</v>
      </c>
      <c r="C360" s="37" t="s">
        <v>485</v>
      </c>
      <c r="D360" s="37" t="s">
        <v>34</v>
      </c>
      <c r="E360" s="37" t="s">
        <v>55</v>
      </c>
      <c r="F360" s="37" t="s">
        <v>57</v>
      </c>
      <c r="G360" s="24" t="s">
        <v>56</v>
      </c>
      <c r="H360" s="24">
        <v>60</v>
      </c>
      <c r="J360" s="38">
        <v>46198</v>
      </c>
      <c r="K360" s="38">
        <v>46198</v>
      </c>
    </row>
    <row r="361" spans="2:11" ht="18.75" customHeight="1" x14ac:dyDescent="0.25">
      <c r="B361" s="24" t="s">
        <v>97</v>
      </c>
      <c r="C361" s="37" t="s">
        <v>486</v>
      </c>
      <c r="D361" s="37"/>
      <c r="E361" s="37" t="s">
        <v>55</v>
      </c>
      <c r="F361" s="37" t="s">
        <v>57</v>
      </c>
      <c r="G361" s="24" t="s">
        <v>56</v>
      </c>
      <c r="H361" s="24">
        <v>120</v>
      </c>
      <c r="J361" s="38">
        <v>46199</v>
      </c>
      <c r="K361" s="38">
        <v>46199</v>
      </c>
    </row>
    <row r="362" spans="2:11" ht="18.75" customHeight="1" x14ac:dyDescent="0.25">
      <c r="B362" s="24" t="s">
        <v>97</v>
      </c>
      <c r="C362" s="37" t="s">
        <v>487</v>
      </c>
      <c r="D362" s="37"/>
      <c r="E362" s="37" t="s">
        <v>55</v>
      </c>
      <c r="F362" s="37" t="s">
        <v>57</v>
      </c>
      <c r="G362" s="24" t="s">
        <v>56</v>
      </c>
      <c r="H362" s="24">
        <v>60</v>
      </c>
      <c r="J362" s="38">
        <v>46200</v>
      </c>
      <c r="K362" s="38">
        <v>46200</v>
      </c>
    </row>
    <row r="363" spans="2:11" ht="18.75" customHeight="1" x14ac:dyDescent="0.25">
      <c r="B363" s="24" t="s">
        <v>97</v>
      </c>
      <c r="C363" s="37" t="s">
        <v>488</v>
      </c>
      <c r="D363" s="37"/>
      <c r="E363" s="37" t="s">
        <v>55</v>
      </c>
      <c r="F363" s="37" t="s">
        <v>57</v>
      </c>
      <c r="G363" s="24" t="s">
        <v>56</v>
      </c>
      <c r="H363" s="24">
        <v>30</v>
      </c>
      <c r="J363" s="38">
        <v>46200</v>
      </c>
      <c r="K363" s="38">
        <v>46200</v>
      </c>
    </row>
    <row r="364" spans="2:11" ht="18.75" customHeight="1" x14ac:dyDescent="0.25">
      <c r="B364" s="24" t="s">
        <v>97</v>
      </c>
      <c r="C364" s="37" t="s">
        <v>494</v>
      </c>
      <c r="D364" s="37"/>
      <c r="E364" s="37" t="s">
        <v>55</v>
      </c>
      <c r="F364" s="37" t="s">
        <v>57</v>
      </c>
      <c r="G364" s="24" t="s">
        <v>56</v>
      </c>
      <c r="H364" s="24">
        <v>12</v>
      </c>
      <c r="J364" s="38">
        <v>46203</v>
      </c>
      <c r="K364" s="38">
        <v>46203</v>
      </c>
    </row>
    <row r="365" spans="2:11" ht="18.75" customHeight="1" x14ac:dyDescent="0.25">
      <c r="B365" s="24" t="s">
        <v>97</v>
      </c>
      <c r="C365" s="37" t="s">
        <v>489</v>
      </c>
      <c r="D365" s="37"/>
      <c r="E365" s="37" t="s">
        <v>55</v>
      </c>
      <c r="F365" s="37" t="s">
        <v>57</v>
      </c>
      <c r="G365" s="24" t="s">
        <v>56</v>
      </c>
      <c r="H365" s="24">
        <v>6</v>
      </c>
      <c r="J365" s="38">
        <v>46203</v>
      </c>
      <c r="K365" s="38">
        <v>46203</v>
      </c>
    </row>
    <row r="366" spans="2:11" ht="18.75" customHeight="1" x14ac:dyDescent="0.25">
      <c r="B366" s="24" t="s">
        <v>97</v>
      </c>
      <c r="C366" s="37" t="s">
        <v>490</v>
      </c>
      <c r="D366" s="37"/>
      <c r="E366" s="37" t="s">
        <v>55</v>
      </c>
      <c r="F366" s="37" t="s">
        <v>57</v>
      </c>
      <c r="G366" s="24" t="s">
        <v>56</v>
      </c>
      <c r="H366" s="24">
        <v>1</v>
      </c>
      <c r="J366" s="38">
        <v>46203</v>
      </c>
      <c r="K366" s="38">
        <v>46203</v>
      </c>
    </row>
    <row r="367" spans="2:11" ht="18.75" customHeight="1" x14ac:dyDescent="0.25">
      <c r="B367" s="24" t="s">
        <v>97</v>
      </c>
      <c r="C367" s="37" t="s">
        <v>491</v>
      </c>
      <c r="D367" s="37"/>
      <c r="E367" s="37" t="s">
        <v>55</v>
      </c>
      <c r="F367" s="37" t="s">
        <v>57</v>
      </c>
      <c r="G367" s="24" t="s">
        <v>56</v>
      </c>
      <c r="H367" s="24">
        <v>4</v>
      </c>
      <c r="J367" s="38">
        <v>46203</v>
      </c>
      <c r="K367" s="38">
        <v>46203</v>
      </c>
    </row>
    <row r="368" spans="2:11" ht="18.75" customHeight="1" x14ac:dyDescent="0.25">
      <c r="B368" s="24" t="s">
        <v>97</v>
      </c>
      <c r="C368" s="37" t="s">
        <v>492</v>
      </c>
      <c r="D368" s="37"/>
      <c r="E368" s="37" t="s">
        <v>55</v>
      </c>
      <c r="F368" s="37" t="s">
        <v>57</v>
      </c>
      <c r="G368" s="24" t="s">
        <v>56</v>
      </c>
      <c r="H368" s="24">
        <v>30</v>
      </c>
      <c r="J368" s="38">
        <v>46203</v>
      </c>
      <c r="K368" s="38">
        <v>46203</v>
      </c>
    </row>
  </sheetData>
  <phoneticPr fontId="2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B5FBA8-056A-441B-B862-EAE00E81CA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Tareas rutinarias</vt:lpstr>
      <vt:lpstr>Tiempo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Alonso</dc:creator>
  <cp:lastModifiedBy>Cristobal Alonso</cp:lastModifiedBy>
  <cp:lastPrinted>2025-03-02T22:48:12Z</cp:lastPrinted>
  <dcterms:created xsi:type="dcterms:W3CDTF">2025-03-02T21:57:01Z</dcterms:created>
  <dcterms:modified xsi:type="dcterms:W3CDTF">2026-06-05T10:38:56Z</dcterms:modified>
</cp:coreProperties>
</file>