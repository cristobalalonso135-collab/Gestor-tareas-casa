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Gestor-hogar\Tareas\"/>
    </mc:Choice>
  </mc:AlternateContent>
  <xr:revisionPtr revIDLastSave="0" documentId="13_ncr:1_{239F0935-89D0-4B94-9BF9-CB49C6F04751}" xr6:coauthVersionLast="47" xr6:coauthVersionMax="47" xr10:uidLastSave="{00000000-0000-0000-0000-000000000000}"/>
  <bookViews>
    <workbookView xWindow="-120" yWindow="-120" windowWidth="29040" windowHeight="15840" xr2:uid="{52A77F75-0A1A-4388-821A-C518F7050BE8}"/>
  </bookViews>
  <sheets>
    <sheet name="Tareas rutinarias" sheetId="28" r:id="rId1"/>
    <sheet name="Tiempo" sheetId="29" r:id="rId2"/>
    <sheet name="Tareas" sheetId="26" r:id="rId3"/>
  </sheets>
  <definedNames>
    <definedName name="DatosExternos_1" localSheetId="2" hidden="1">Tareas!$B$5:$K$95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0" i="28" l="1"/>
  <c r="AJ11" i="28"/>
  <c r="AJ12" i="28"/>
  <c r="AJ13" i="28"/>
  <c r="AJ14" i="28"/>
  <c r="AJ15" i="28"/>
  <c r="AJ16" i="28"/>
  <c r="AJ17" i="28"/>
  <c r="AJ18" i="28"/>
  <c r="AJ19" i="28"/>
  <c r="AJ20" i="28"/>
  <c r="AJ21" i="28"/>
  <c r="AJ22" i="28"/>
  <c r="AJ23" i="28"/>
  <c r="AJ24" i="28"/>
  <c r="AJ25" i="28"/>
  <c r="AJ26" i="28"/>
  <c r="AJ27" i="28"/>
  <c r="AJ28" i="28"/>
  <c r="AJ29" i="28"/>
  <c r="AJ30" i="28"/>
  <c r="AJ31" i="28"/>
  <c r="AJ32" i="28"/>
  <c r="AJ33" i="28"/>
  <c r="AJ34" i="28"/>
  <c r="AJ35" i="28"/>
  <c r="AJ36" i="28"/>
  <c r="AJ37" i="28"/>
  <c r="AJ9" i="28"/>
  <c r="B21" i="29"/>
  <c r="B22" i="29"/>
  <c r="B25" i="28"/>
  <c r="B24" i="28"/>
  <c r="B15" i="28"/>
  <c r="B22" i="28"/>
  <c r="B11" i="28"/>
  <c r="AH5" i="28"/>
  <c r="AA5" i="28"/>
  <c r="T5" i="28"/>
  <c r="M5" i="28"/>
  <c r="F5" i="28"/>
  <c r="B31" i="29"/>
  <c r="B35" i="28"/>
  <c r="B34" i="29"/>
  <c r="B7" i="29"/>
  <c r="B6" i="29"/>
  <c r="B11" i="29"/>
  <c r="B12" i="29"/>
  <c r="B10" i="29"/>
  <c r="B13" i="29"/>
  <c r="B9" i="29"/>
  <c r="B17" i="29"/>
  <c r="B15" i="29"/>
  <c r="B16" i="29"/>
  <c r="B18" i="29"/>
  <c r="B14" i="29"/>
  <c r="B20" i="29"/>
  <c r="B19" i="29"/>
  <c r="B25" i="29"/>
  <c r="B28" i="29"/>
  <c r="B24" i="29"/>
  <c r="B26" i="29"/>
  <c r="B23" i="29"/>
  <c r="B29" i="29"/>
  <c r="B27" i="29"/>
  <c r="B30" i="29"/>
  <c r="B32" i="29"/>
  <c r="B33" i="29"/>
  <c r="B8" i="29"/>
  <c r="B31" i="28"/>
  <c r="B20" i="28"/>
  <c r="B10" i="28"/>
  <c r="B14" i="28"/>
  <c r="B17" i="28"/>
  <c r="B9" i="28"/>
  <c r="B13" i="28"/>
  <c r="B16" i="28"/>
  <c r="B12" i="28"/>
  <c r="B18" i="28"/>
  <c r="B19" i="28"/>
  <c r="B21" i="28"/>
  <c r="B23" i="28"/>
  <c r="B26" i="28"/>
  <c r="B28" i="28"/>
  <c r="B29" i="28"/>
  <c r="B30" i="28"/>
  <c r="B37" i="28"/>
  <c r="B32" i="28"/>
  <c r="B27" i="28"/>
  <c r="B33" i="28"/>
  <c r="B34" i="28"/>
  <c r="B36" i="28"/>
  <c r="X6" i="28" l="1"/>
  <c r="AE6" i="28"/>
  <c r="O6" i="28"/>
  <c r="Z6" i="28"/>
  <c r="K6" i="28"/>
  <c r="L6" i="28"/>
  <c r="H6" i="28"/>
  <c r="U6" i="28"/>
  <c r="G6" i="28"/>
  <c r="T6" i="28"/>
  <c r="AG6" i="28"/>
  <c r="AF6" i="28"/>
  <c r="R6" i="28"/>
  <c r="Q6" i="28"/>
  <c r="P6" i="28"/>
  <c r="AC6" i="28"/>
  <c r="AB6" i="28"/>
  <c r="AA6" i="28"/>
  <c r="M6" i="28"/>
  <c r="AH6" i="28"/>
  <c r="S6" i="28"/>
  <c r="AD6" i="28"/>
  <c r="N6" i="28"/>
  <c r="F6" i="28"/>
  <c r="Y6" i="28"/>
  <c r="J6" i="28"/>
  <c r="W6" i="28"/>
  <c r="I6" i="28"/>
  <c r="V6" i="28"/>
  <c r="AI6" i="2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73C03D-C04A-4FE5-B1CE-8AD0977039EF}" keepAlive="1" name="Consulta - Tareas" description="Conexión a la consulta 'Tareas' en el libro." type="5" refreshedVersion="8" background="1" saveData="1">
    <dbPr connection="Provider=Microsoft.Mashup.OleDb.1;Data Source=$Workbook$;Location=Tareas;Extended Properties=&quot;&quot;" command="SELECT * FROM [Tareas]"/>
  </connection>
  <connection id="2" xr16:uid="{7F6DE1D6-7372-4725-8BC2-DA5773B775FC}" keepAlive="1" name="Consulta - Tiempo" description="Conexión a la consulta 'Tiempo' en el libro." type="5" refreshedVersion="0" background="1">
    <dbPr connection="Provider=Microsoft.Mashup.OleDb.1;Data Source=$Workbook$;Location=Tiempo;Extended Properties=&quot;&quot;" command="SELECT * FROM [Tiempo]"/>
  </connection>
</connections>
</file>

<file path=xl/sharedStrings.xml><?xml version="1.0" encoding="utf-8"?>
<sst xmlns="http://schemas.openxmlformats.org/spreadsheetml/2006/main" count="657" uniqueCount="195">
  <si>
    <t>Sá.</t>
  </si>
  <si>
    <t>Do.</t>
  </si>
  <si>
    <t>Lu.</t>
  </si>
  <si>
    <t>Ma.</t>
  </si>
  <si>
    <t>Mi.</t>
  </si>
  <si>
    <t>Ju.</t>
  </si>
  <si>
    <t>Vi.</t>
  </si>
  <si>
    <t>Tiempo estimado</t>
  </si>
  <si>
    <t>Tiempo real</t>
  </si>
  <si>
    <t>Estado</t>
  </si>
  <si>
    <t>Tareas</t>
  </si>
  <si>
    <t>Tipo</t>
  </si>
  <si>
    <t>Comentarios</t>
  </si>
  <si>
    <t>#</t>
  </si>
  <si>
    <r>
      <rPr>
        <sz val="20"/>
        <color theme="1"/>
        <rFont val="Segoe UI Light"/>
        <family val="2"/>
      </rPr>
      <t>Teamsports</t>
    </r>
    <r>
      <rPr>
        <sz val="20"/>
        <color theme="1"/>
        <rFont val="Segoe UI"/>
        <family val="2"/>
      </rPr>
      <t xml:space="preserve"> </t>
    </r>
    <r>
      <rPr>
        <sz val="20"/>
        <color theme="1"/>
        <rFont val="Segoe UI Semibold"/>
        <family val="2"/>
      </rPr>
      <t>· Tiempo estimado</t>
    </r>
  </si>
  <si>
    <t>Tarea</t>
  </si>
  <si>
    <t>Hacer la hoja de tareas rutinarias del próximo mes</t>
  </si>
  <si>
    <t>Notas</t>
  </si>
  <si>
    <t>Solicitada por</t>
  </si>
  <si>
    <t>Prioridad</t>
  </si>
  <si>
    <t>Deadline</t>
  </si>
  <si>
    <t>Cristóbal</t>
  </si>
  <si>
    <t>Pendiente</t>
  </si>
  <si>
    <t>Baja</t>
  </si>
  <si>
    <t>Fecha Solicitud</t>
  </si>
  <si>
    <r>
      <rPr>
        <sz val="20"/>
        <color theme="1"/>
        <rFont val="Segoe UI Light"/>
        <family val="2"/>
      </rPr>
      <t>Teamsports ·</t>
    </r>
    <r>
      <rPr>
        <sz val="20"/>
        <color theme="1"/>
        <rFont val="Segoe UI"/>
        <family val="2"/>
      </rPr>
      <t xml:space="preserve"> </t>
    </r>
    <r>
      <rPr>
        <sz val="20"/>
        <color theme="1"/>
        <rFont val="Segoe UI Semibold"/>
        <family val="2"/>
      </rPr>
      <t>Tareas rutinarias</t>
    </r>
  </si>
  <si>
    <t>Semanal</t>
  </si>
  <si>
    <t>Mensual</t>
  </si>
  <si>
    <t>1-6</t>
  </si>
  <si>
    <t>2-6</t>
  </si>
  <si>
    <t>3-6</t>
  </si>
  <si>
    <t>4-6</t>
  </si>
  <si>
    <t>5-6</t>
  </si>
  <si>
    <t>6-6</t>
  </si>
  <si>
    <t>7-6</t>
  </si>
  <si>
    <t>8-6</t>
  </si>
  <si>
    <t>9-6</t>
  </si>
  <si>
    <t>10-6</t>
  </si>
  <si>
    <t>11-6</t>
  </si>
  <si>
    <t>12-6</t>
  </si>
  <si>
    <t>13-6</t>
  </si>
  <si>
    <t>14-6</t>
  </si>
  <si>
    <t>15-6</t>
  </si>
  <si>
    <t>16-6</t>
  </si>
  <si>
    <t>17-6</t>
  </si>
  <si>
    <t>18-6</t>
  </si>
  <si>
    <t>19-6</t>
  </si>
  <si>
    <t>20-6</t>
  </si>
  <si>
    <t>21-6</t>
  </si>
  <si>
    <t>22-6</t>
  </si>
  <si>
    <t>23-6</t>
  </si>
  <si>
    <t>24-6</t>
  </si>
  <si>
    <t>25-6</t>
  </si>
  <si>
    <t>26-6</t>
  </si>
  <si>
    <t>27-6</t>
  </si>
  <si>
    <t>28-6</t>
  </si>
  <si>
    <t>29-6</t>
  </si>
  <si>
    <t>30-6</t>
  </si>
  <si>
    <r>
      <rPr>
        <sz val="24"/>
        <color theme="1"/>
        <rFont val="Segoe UI Light"/>
        <family val="2"/>
      </rPr>
      <t>1. Tareas rutinarias ·</t>
    </r>
    <r>
      <rPr>
        <sz val="24"/>
        <color theme="1"/>
        <rFont val="Segoe UI Semibold"/>
        <family val="2"/>
      </rPr>
      <t xml:space="preserve"> Junio 2026</t>
    </r>
  </si>
  <si>
    <t>Ordenar el móvil</t>
  </si>
  <si>
    <t>Cambiar las sábanas</t>
  </si>
  <si>
    <t>Cambiar el pijama</t>
  </si>
  <si>
    <t>Cambiar las toallas</t>
  </si>
  <si>
    <t>Quitar las pieles muertas de los pies</t>
  </si>
  <si>
    <t>Mirar en el calendario de Apple los cumpleaños y apuntarlos en el calendario</t>
  </si>
  <si>
    <t>Realizar la compra a Iherb</t>
  </si>
  <si>
    <t>Limpiar el baño</t>
  </si>
  <si>
    <t>Limpiar el dormitorio</t>
  </si>
  <si>
    <t>Limpiar el despacho</t>
  </si>
  <si>
    <t>Renovar el cepillo de dientes</t>
  </si>
  <si>
    <t>cabeza, genitales, axilas, pecho, entrecejo, nariz, pies</t>
  </si>
  <si>
    <t>Cortarme el pelo</t>
  </si>
  <si>
    <t>Gestionar correos</t>
  </si>
  <si>
    <t>Gmail · Outlook (2) · Hostinger (2)</t>
  </si>
  <si>
    <t>Revisar cuentas bancarias</t>
  </si>
  <si>
    <t>Colada de blancos</t>
  </si>
  <si>
    <t>Colada de color y negro</t>
  </si>
  <si>
    <t>Limpiar el salón-comedor</t>
  </si>
  <si>
    <t>Revisar el coche</t>
  </si>
  <si>
    <t>Agua, aceite, frenos, limpiaparabrisas y neumáticos</t>
  </si>
  <si>
    <t>Lavar el coche</t>
  </si>
  <si>
    <t>Exterior</t>
  </si>
  <si>
    <t>Aspirar y limpiar el coche</t>
  </si>
  <si>
    <t>Interior</t>
  </si>
  <si>
    <t>Cuidado de uñas</t>
  </si>
  <si>
    <t>Cortar, limar y limpiar</t>
  </si>
  <si>
    <t>Limpiar el molde dental</t>
  </si>
  <si>
    <t>Aplicar Perspirex</t>
  </si>
  <si>
    <t>Revisar nivel del aljibe</t>
  </si>
  <si>
    <t>Rellenar si es necesario</t>
  </si>
  <si>
    <t>Trimestral</t>
  </si>
  <si>
    <t>Renovar lentillas</t>
  </si>
  <si>
    <t>Mantener el pozo ciego</t>
  </si>
  <si>
    <t>Añadir una pastilla al retrete</t>
  </si>
  <si>
    <t>Revisar los cumpleaños</t>
  </si>
  <si>
    <t>Ibercaja y Openbank (últimos 10 días)</t>
  </si>
  <si>
    <t>Cada 3 meses (01/07/2026)</t>
  </si>
  <si>
    <t>Desenredar el pelo</t>
  </si>
  <si>
    <t>Afeitarme</t>
  </si>
  <si>
    <t>Columna1</t>
  </si>
  <si>
    <t>Limpiar el despacho (Lu.)</t>
  </si>
  <si>
    <t>Limpiar el salón-comedor (Ma.)</t>
  </si>
  <si>
    <t>Limpiar el dormitorio (Mi.)</t>
  </si>
  <si>
    <t>Limpiar el baño (Ju.)</t>
  </si>
  <si>
    <t>Gestionar correos (Vi.)</t>
  </si>
  <si>
    <t>Gestionar correos 05/06/2026</t>
  </si>
  <si>
    <t>Gestionar correos 12/06/2026</t>
  </si>
  <si>
    <t>Gestionar correos 19/06/2026</t>
  </si>
  <si>
    <t>Gestionar correos 26/06/2026</t>
  </si>
  <si>
    <t>Revisar cuentas bancarias 06/06/2026</t>
  </si>
  <si>
    <t>Revisar cuentas bancarias 13/06/2026</t>
  </si>
  <si>
    <t>Revisar cuentas bancarias 20/06/2026</t>
  </si>
  <si>
    <t>Revisar cuentas bancarias 27/06/2026</t>
  </si>
  <si>
    <t>Ordenar el móvil 06/06/2026</t>
  </si>
  <si>
    <t>Ordenar el móvil 13/06/2026</t>
  </si>
  <si>
    <t>Ordenar el móvil 20/06/2026</t>
  </si>
  <si>
    <t>Ordenar el móvil 27/06/2026</t>
  </si>
  <si>
    <t>Cambiar las sábanas 06/06/2026</t>
  </si>
  <si>
    <t>Cambiar las sábanas 13/06/2026</t>
  </si>
  <si>
    <t>Cambiar las sábanas 20/06/2026</t>
  </si>
  <si>
    <t>Cambiar las sábanas 27/06/2026</t>
  </si>
  <si>
    <t>Cambiar el pijama 06/06/2026</t>
  </si>
  <si>
    <t>Cambiar el pijama 13/06/2026</t>
  </si>
  <si>
    <t>Cambiar el pijama 20/06/2026</t>
  </si>
  <si>
    <t>Cambiar el pijama 27/06/2026</t>
  </si>
  <si>
    <t>Colada de blancos 06/06/2026</t>
  </si>
  <si>
    <t>Colada de blancos 13/06/2026</t>
  </si>
  <si>
    <t>Colada de blancos 20/06/2026</t>
  </si>
  <si>
    <t>Colada de blancos 27/06/2026</t>
  </si>
  <si>
    <t>Colada de color y negro 06/06/2026</t>
  </si>
  <si>
    <t>Colada de color y negro 13/06/2026</t>
  </si>
  <si>
    <t>Colada de color y negro 20/06/2026</t>
  </si>
  <si>
    <t>Colada de color y negro 27/06/2026</t>
  </si>
  <si>
    <t>Cambiar las toallas 06/06/2026</t>
  </si>
  <si>
    <t>Cambiar las toallas 13/06/2026</t>
  </si>
  <si>
    <t>Cambiar las toallas 20/06/2026</t>
  </si>
  <si>
    <t>Cambiar las toallas 27/06/2026</t>
  </si>
  <si>
    <t>Limpiar el baño 04/06/2026</t>
  </si>
  <si>
    <t>Limpiar el baño 11/06/2026</t>
  </si>
  <si>
    <t>Limpiar el baño 18/06/2026</t>
  </si>
  <si>
    <t>Limpiar el baño 25/06/2026</t>
  </si>
  <si>
    <t>Limpiar el dormitorio 03/06/2026</t>
  </si>
  <si>
    <t>Limpiar el dormitorio 10/06/2026</t>
  </si>
  <si>
    <t>Limpiar el dormitorio 17/06/2026</t>
  </si>
  <si>
    <t>Limpiar el dormitorio 24/06/2026</t>
  </si>
  <si>
    <t>Limpiar el despacho 01/06/2026</t>
  </si>
  <si>
    <t>Limpiar el despacho 08/06/2026</t>
  </si>
  <si>
    <t>Limpiar el despacho 15/06/2026</t>
  </si>
  <si>
    <t>Limpiar el despacho 22/06/2026</t>
  </si>
  <si>
    <t>Limpiar el despacho 29/06/2026</t>
  </si>
  <si>
    <t>Limpiar el salón-comedor 02/06/2026</t>
  </si>
  <si>
    <t>Limpiar el salón-comedor 09/06/2026</t>
  </si>
  <si>
    <t>Limpiar el salón-comedor 16/06/2026</t>
  </si>
  <si>
    <t>Limpiar el salón-comedor 23/06/2026</t>
  </si>
  <si>
    <t>Limpiar el salón-comedor 30/06/2026</t>
  </si>
  <si>
    <t>Revisar el coche 07/06/2026</t>
  </si>
  <si>
    <t>Revisar el coche 14/06/2026</t>
  </si>
  <si>
    <t>Revisar el coche 21/06/2026</t>
  </si>
  <si>
    <t>Revisar el coche 28/06/2026</t>
  </si>
  <si>
    <t>Aspirar y limpiar el coche 07/06/2026</t>
  </si>
  <si>
    <t>Aspirar y limpiar el coche 14/06/2026</t>
  </si>
  <si>
    <t>Aspirar y limpiar el coche 21/06/2026</t>
  </si>
  <si>
    <t>Aspirar y limpiar el coche 28/06/2026</t>
  </si>
  <si>
    <t>Lavar el coche 07/06/2026</t>
  </si>
  <si>
    <t>Lavar el coche 14/06/2026</t>
  </si>
  <si>
    <t>Lavar el coche 21/06/2026</t>
  </si>
  <si>
    <t>Lavar el coche 28/06/2026</t>
  </si>
  <si>
    <t>Desenredar el pelo 07/06/2026</t>
  </si>
  <si>
    <t>Desenredar el pelo 14/06/2026</t>
  </si>
  <si>
    <t>Desenredar el pelo 21/06/2026</t>
  </si>
  <si>
    <t>Desenredar el pelo 28/06/2026</t>
  </si>
  <si>
    <t>Afeitarme 07/06/2026</t>
  </si>
  <si>
    <t>Afeitarme 14/06/2026</t>
  </si>
  <si>
    <t>Afeitarme 21/06/2026</t>
  </si>
  <si>
    <t>Afeitarme 28/06/2026</t>
  </si>
  <si>
    <t>Cuidado de uñas 07/06/2026</t>
  </si>
  <si>
    <t>Cuidado de uñas 14/06/2026</t>
  </si>
  <si>
    <t>Cuidado de uñas 21/06/2026</t>
  </si>
  <si>
    <t>Cuidado de uñas 28/06/2026</t>
  </si>
  <si>
    <t>Limpiar el molde dental 07/06/2026</t>
  </si>
  <si>
    <t>Limpiar el molde dental 14/06/2026</t>
  </si>
  <si>
    <t>Limpiar el molde dental 21/06/2026</t>
  </si>
  <si>
    <t>Limpiar el molde dental 28/06/2026</t>
  </si>
  <si>
    <t>Revisar nivel del aljibe 29/06/2026</t>
  </si>
  <si>
    <t>Mantener el pozo ciego 29/06/2026</t>
  </si>
  <si>
    <t>Renovar lentillas 29/06/2026</t>
  </si>
  <si>
    <t>Cortarme el pelo 30/06/2026</t>
  </si>
  <si>
    <t>Quitar las pieles muertas de los pies 30/06/2026</t>
  </si>
  <si>
    <t>Revisar los cumpleaños 29/06/2026</t>
  </si>
  <si>
    <t>Realizar la compra a Iherb 29/06/2026</t>
  </si>
  <si>
    <t>Hacer la hoja de tareas rutinarias del próximo mes 29/06/2026</t>
  </si>
  <si>
    <t>Aplicar Perspirex 07/06/2026</t>
  </si>
  <si>
    <t>Aplicar Perspirex 14/06/2026</t>
  </si>
  <si>
    <t>Aplicar Perspirex 21/06/2026</t>
  </si>
  <si>
    <t>Aplicar Perspirex 28/06/2026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</si>
</sst>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\-m;@"/>
    <numFmt numFmtId="165" formatCode="0\ &quot;Min.&quot;"/>
  </numFmts>
  <fonts count="23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1"/>
      <color theme="1"/>
      <name val="Segoe UI"/>
      <family val="2"/>
    </font>
    <font>
      <b/>
      <sz val="1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sz val="24"/>
      <color theme="1"/>
      <name val="Segoe UI"/>
      <family val="2"/>
    </font>
    <font>
      <sz val="8"/>
      <color theme="1"/>
      <name val="Segoe UI"/>
      <family val="2"/>
    </font>
    <font>
      <b/>
      <sz val="8"/>
      <color theme="5"/>
      <name val="Segoe UI"/>
      <family val="2"/>
    </font>
    <font>
      <sz val="10"/>
      <color rgb="FFFFC000"/>
      <name val="Segoe UI"/>
      <family val="2"/>
    </font>
    <font>
      <sz val="24"/>
      <color theme="1"/>
      <name val="Segoe UI Semibold"/>
      <family val="2"/>
    </font>
    <font>
      <sz val="10"/>
      <color theme="1"/>
      <name val="Segoe UI Semibold"/>
      <family val="2"/>
    </font>
    <font>
      <sz val="10"/>
      <name val="Segoe UI Semibold"/>
      <family val="2"/>
    </font>
    <font>
      <i/>
      <sz val="10"/>
      <color rgb="FFFF355E"/>
      <name val="Segoe UI Semibold"/>
      <family val="2"/>
    </font>
    <font>
      <sz val="24"/>
      <color theme="1"/>
      <name val="Segoe UI Light"/>
      <family val="2"/>
    </font>
    <font>
      <i/>
      <sz val="10"/>
      <color theme="1"/>
      <name val="Segoe UI Semibold"/>
      <family val="2"/>
    </font>
    <font>
      <i/>
      <sz val="10"/>
      <color rgb="FFFFC000"/>
      <name val="Segoe UI Semibold"/>
      <family val="2"/>
    </font>
    <font>
      <sz val="20"/>
      <color theme="1"/>
      <name val="Segoe UI"/>
      <family val="2"/>
    </font>
    <font>
      <sz val="20"/>
      <color theme="1"/>
      <name val="Segoe UI Light"/>
      <family val="2"/>
    </font>
    <font>
      <sz val="20"/>
      <color theme="1"/>
      <name val="Segoe UI Semibold"/>
      <family val="2"/>
    </font>
    <font>
      <sz val="8"/>
      <name val="Aptos Narrow"/>
      <family val="2"/>
      <scheme val="minor"/>
    </font>
    <font>
      <i/>
      <sz val="10"/>
      <color rgb="FF07A2AD"/>
      <name val="Segoe UI Semibold"/>
      <family val="2"/>
    </font>
    <font>
      <i/>
      <sz val="10"/>
      <name val="Segoe UI Semibold"/>
      <family val="2"/>
    </font>
  </fonts>
  <fills count="3">
    <fill>
      <patternFill patternType="none"/>
    </fill>
    <fill>
      <patternFill patternType="gray125"/>
    </fill>
    <fill>
      <patternFill patternType="solid">
        <fgColor rgb="FFFFF6E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theme="1"/>
      </right>
      <top/>
      <bottom style="hair">
        <color indexed="64"/>
      </bottom>
      <diagonal/>
    </border>
    <border>
      <left style="hair">
        <color indexed="64"/>
      </left>
      <right style="hair">
        <color theme="1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164" fontId="1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1" fontId="1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21" fillId="2" borderId="0" xfId="0" applyNumberFormat="1" applyFont="1" applyFill="1" applyAlignment="1">
      <alignment horizontal="center" vertical="center"/>
    </xf>
    <xf numFmtId="164" fontId="21" fillId="2" borderId="1" xfId="0" applyNumberFormat="1" applyFont="1" applyFill="1" applyBorder="1" applyAlignment="1">
      <alignment horizontal="center" vertical="center"/>
    </xf>
    <xf numFmtId="164" fontId="22" fillId="2" borderId="0" xfId="0" applyNumberFormat="1" applyFont="1" applyFill="1" applyAlignment="1">
      <alignment horizontal="center" vertical="center"/>
    </xf>
    <xf numFmtId="164" fontId="22" fillId="2" borderId="1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164" fontId="22" fillId="2" borderId="7" xfId="0" applyNumberFormat="1" applyFont="1" applyFill="1" applyBorder="1" applyAlignment="1">
      <alignment horizontal="center" vertical="center"/>
    </xf>
    <xf numFmtId="164" fontId="22" fillId="2" borderId="4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" fontId="16" fillId="2" borderId="0" xfId="0" applyNumberFormat="1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" fontId="16" fillId="2" borderId="0" xfId="0" applyNumberFormat="1" applyFont="1" applyFill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70">
    <dxf>
      <font>
        <strike val="0"/>
        <outline val="0"/>
        <shadow val="0"/>
        <u val="none"/>
        <vertAlign val="baseline"/>
        <color theme="1"/>
        <name val="Segoe U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Segoe U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color rgb="FF00B050"/>
      </font>
      <fill>
        <patternFill patternType="solid">
          <bgColor rgb="FFFFF6E5"/>
        </patternFill>
      </fill>
    </dxf>
    <dxf>
      <font>
        <b/>
        <i val="0"/>
        <color rgb="FF00B050"/>
      </font>
    </dxf>
    <dxf>
      <font>
        <b/>
        <i val="0"/>
        <color rgb="FF00B050"/>
      </font>
      <fill>
        <patternFill patternType="solid">
          <bgColor rgb="FFFFF6E5"/>
        </patternFill>
      </fill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  <fill>
        <patternFill patternType="solid">
          <bgColor rgb="FFFFF6E5"/>
        </patternFill>
      </fill>
    </dxf>
    <dxf>
      <font>
        <b/>
        <i val="0"/>
        <color rgb="FF00B050"/>
      </font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64" formatCode="d\-m;@"/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 Semibold"/>
        <family val="2"/>
        <scheme val="none"/>
      </font>
      <numFmt numFmtId="164" formatCode="d\-m;@"/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C000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C000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C000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C000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C000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C000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theme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FF6E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0\ &quot;Min.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theme="0" tint="-0.14996795556505021"/>
          <bgColor theme="0" tint="-4.9989318521683403E-2"/>
        </patternFill>
      </fill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/>
        <bottom/>
        <vertical/>
        <horizontal/>
      </border>
    </dxf>
    <dxf>
      <font>
        <b/>
        <color theme="0"/>
      </font>
      <fill>
        <patternFill patternType="solid">
          <fgColor theme="4"/>
          <bgColor theme="0" tint="-0.34998626667073579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</dxfs>
  <tableStyles count="1" defaultTableStyle="TableStyleMedium2" defaultPivotStyle="PivotStyleLight16">
    <tableStyle name="TableStyleMedium16 2" pivot="0" count="7" xr9:uid="{ED0B08F5-D88D-43C1-9C50-AE51202FA04E}">
      <tableStyleElement type="wholeTable" dxfId="69"/>
      <tableStyleElement type="headerRow" dxfId="68"/>
      <tableStyleElement type="totalRow" dxfId="67"/>
      <tableStyleElement type="firstColumn" dxfId="66"/>
      <tableStyleElement type="lastColumn" dxfId="65"/>
      <tableStyleElement type="firstRowStripe" dxfId="64"/>
      <tableStyleElement type="firstColumnStripe" dxfId="63"/>
    </tableStyle>
  </tableStyles>
  <colors>
    <mruColors>
      <color rgb="FF07A2AD"/>
      <color rgb="FF3B82F6"/>
      <color rgb="FFDBEAFE"/>
      <color rgb="FFF97316"/>
      <color rgb="FFFFEDD5"/>
      <color rgb="FFEAB308"/>
      <color rgb="FFFEF9C3"/>
      <color rgb="FF22C55E"/>
      <color rgb="FFDCFCE7"/>
      <color rgb="FFFFEE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1" xr16:uid="{E9E44C6A-7C4B-4315-99F8-AAFC12527D2C}" autoFormatId="16" applyNumberFormats="0" applyBorderFormats="0" applyFontFormats="0" applyPatternFormats="0" applyAlignmentFormats="0" applyWidthHeightFormats="0">
  <queryTableRefresh nextId="30">
    <queryTableFields count="10">
      <queryTableField id="2" name="Tipo" tableColumnId="2"/>
      <queryTableField id="12" name="Tarea" tableColumnId="3"/>
      <queryTableField id="17" name="Notas" tableColumnId="1"/>
      <queryTableField id="18" name="Solicitada por" tableColumnId="4"/>
      <queryTableField id="19" name="Prioridad" tableColumnId="5"/>
      <queryTableField id="6" name="Estado" tableColumnId="6"/>
      <queryTableField id="8" name="Tiempo estimado" tableColumnId="8"/>
      <queryTableField id="9" name="Tiempo real" tableColumnId="9"/>
      <queryTableField id="25" name="Fecha Solicitud" tableColumnId="11"/>
      <queryTableField id="20" name="Deadline" tableColumnId="7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EF81DF0-16F0-48C4-9229-D5EB55BF162D}" name="TareasRutinarias" displayName="TareasRutinarias" ref="B8:AI37" totalsRowShown="0" headerRowDxfId="21" dataDxfId="20">
  <tableColumns count="34">
    <tableColumn id="1" xr3:uid="{A5749226-A703-48DF-BA54-0861B4940C80}" name="#" dataDxfId="55">
      <calculatedColumnFormula>ROW()-8</calculatedColumnFormula>
    </tableColumn>
    <tableColumn id="2" xr3:uid="{1F65CEFC-AF1A-48EE-92CB-FFBD297CAEAB}" name="Tipo" dataDxfId="54"/>
    <tableColumn id="3" xr3:uid="{8AA095BC-E72C-433E-88C4-93DDA7F4DDED}" name="Tareas" dataDxfId="53"/>
    <tableColumn id="35" xr3:uid="{319DAB0A-7B0A-4F8C-A4A6-E09E24D077DF}" name="Comentarios" dataDxfId="52"/>
    <tableColumn id="4" xr3:uid="{85966A17-9F7F-4583-B080-3F7065A5A883}" name="1-6" dataDxfId="51"/>
    <tableColumn id="5" xr3:uid="{AA2E6674-DFE5-4D15-A12D-3AB565C71558}" name="2-6" dataDxfId="50"/>
    <tableColumn id="6" xr3:uid="{75321E56-3F63-4495-9F25-5CB1FEC90F60}" name="3-6" dataDxfId="49"/>
    <tableColumn id="7" xr3:uid="{70895A78-9D45-45B7-8D6C-D275DBDE6053}" name="4-6" dataDxfId="48"/>
    <tableColumn id="8" xr3:uid="{1D889C9E-1A97-4F84-B604-175F6C0A42AF}" name="5-6" dataDxfId="47"/>
    <tableColumn id="9" xr3:uid="{25690A31-15E0-408B-8627-7F9B034AC62A}" name="6-6" dataDxfId="46"/>
    <tableColumn id="10" xr3:uid="{ABF04856-46E7-44D3-8CBF-C32D9D3B3943}" name="7-6" dataDxfId="45"/>
    <tableColumn id="11" xr3:uid="{85AE81D3-5F12-4AB9-90C5-F8C82CA02761}" name="8-6" dataDxfId="44"/>
    <tableColumn id="12" xr3:uid="{5096E15A-11BB-48FE-8D13-EE73CBFE5B8C}" name="9-6" dataDxfId="43"/>
    <tableColumn id="13" xr3:uid="{8168651C-6BB5-40F8-A88B-9F560109BCF1}" name="10-6" dataDxfId="42"/>
    <tableColumn id="14" xr3:uid="{AD661B0C-31CA-4531-88FA-9A86BAC8B25C}" name="11-6" dataDxfId="41"/>
    <tableColumn id="15" xr3:uid="{0791B369-975B-4A8E-B05C-07F332A41C01}" name="12-6" dataDxfId="40"/>
    <tableColumn id="16" xr3:uid="{9434316A-AFC3-4F8C-8FD9-E1714CF4A7D9}" name="13-6" dataDxfId="39"/>
    <tableColumn id="17" xr3:uid="{34F8382B-41F7-4310-9BBC-F080B8280D2B}" name="14-6" dataDxfId="38"/>
    <tableColumn id="18" xr3:uid="{B2F6A918-8320-4D5A-AD05-7CAEC752D020}" name="15-6" dataDxfId="37"/>
    <tableColumn id="19" xr3:uid="{60EEBBE0-5FB2-40F1-AC2B-8B9CCC0E87FE}" name="16-6" dataDxfId="36"/>
    <tableColumn id="20" xr3:uid="{140888CA-6EFB-450F-B041-5EE5081B59AC}" name="17-6" dataDxfId="35"/>
    <tableColumn id="21" xr3:uid="{42685820-0826-40FC-8E5A-CC1160CA9505}" name="18-6" dataDxfId="34"/>
    <tableColumn id="22" xr3:uid="{959D19C8-E08E-4951-9D10-0DDB1C95F09D}" name="19-6" dataDxfId="33"/>
    <tableColumn id="23" xr3:uid="{6134205A-A658-4E08-A801-6EDB14807937}" name="20-6" dataDxfId="32"/>
    <tableColumn id="24" xr3:uid="{C107853A-2D58-4F2A-A620-131EA6C9194E}" name="21-6" dataDxfId="31"/>
    <tableColumn id="25" xr3:uid="{355F1730-6FD5-4431-9C66-E158CCDD6D3C}" name="22-6" dataDxfId="30"/>
    <tableColumn id="26" xr3:uid="{97B57948-FDB7-422F-9DA1-4DE6D32A6946}" name="23-6" dataDxfId="29"/>
    <tableColumn id="27" xr3:uid="{F3266A5C-C128-4068-8250-463EF44C0388}" name="24-6" dataDxfId="28"/>
    <tableColumn id="28" xr3:uid="{53CDBC75-9DA8-4814-BFFA-5079885F2530}" name="25-6" dataDxfId="27"/>
    <tableColumn id="29" xr3:uid="{954C707A-9523-4197-925D-4DC018147540}" name="26-6" dataDxfId="26"/>
    <tableColumn id="30" xr3:uid="{894B0B17-FC76-44DC-B043-311B07BD9058}" name="27-6" dataDxfId="25"/>
    <tableColumn id="31" xr3:uid="{557436DF-2326-4822-B30B-4E7C828ABDE9}" name="28-6" dataDxfId="24"/>
    <tableColumn id="32" xr3:uid="{64D3B3F0-96D7-423C-B2C2-BE819428CB6C}" name="29-6" dataDxfId="23"/>
    <tableColumn id="34" xr3:uid="{75A65709-C4D6-4CBF-910E-8783CEE74B46}" name="30-6" dataDxfId="2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5CEB85-679E-4E73-BA59-96ED8CFE400C}" name="Tiempo" displayName="Tiempo" ref="B5:E34" totalsRowShown="0" headerRowDxfId="62" dataDxfId="61">
  <tableColumns count="4">
    <tableColumn id="1" xr3:uid="{FA0D749E-3D34-4345-85B9-1428CB02031F}" name="#" dataDxfId="60">
      <calculatedColumnFormula>ROW()-5</calculatedColumnFormula>
    </tableColumn>
    <tableColumn id="3" xr3:uid="{96E3BC39-B486-4AC4-A176-FB8ED072196F}" name="Tareas" dataDxfId="59"/>
    <tableColumn id="8" xr3:uid="{F7FDE891-AE36-426C-9E39-B3384185D3E6}" name="Tiempo estimado" dataDxfId="58"/>
    <tableColumn id="2" xr3:uid="{BA7FE560-2858-4FCE-B0EA-D5B95F0E9931}" name="Columna1" dataDxfId="19"/>
  </tableColumns>
  <tableStyleInfo name="TableStyleMedium16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3EB0FE-E4A2-47F8-A759-3551185CA894}" name="Tareas" displayName="Tareas" ref="B5:K95" tableType="queryTable" totalsRowShown="0" headerRowDxfId="57" dataDxfId="56">
  <tableColumns count="10">
    <tableColumn id="2" xr3:uid="{47E87CDA-5FA3-4448-B3A5-5D07CFF34FA4}" uniqueName="2" name="Tipo" queryTableFieldId="2" dataDxfId="9"/>
    <tableColumn id="3" xr3:uid="{0203BE4F-3D1A-4803-AEC8-DDB2384E883A}" uniqueName="3" name="Tarea" queryTableFieldId="12" dataDxfId="8"/>
    <tableColumn id="1" xr3:uid="{66BA08BB-FB0A-45B1-B6A1-4821508A4CB5}" uniqueName="1" name="Notas" queryTableFieldId="17" dataDxfId="7"/>
    <tableColumn id="4" xr3:uid="{C06392B8-725C-4B45-B246-FD89248665DE}" uniqueName="4" name="Solicitada por" queryTableFieldId="18" dataDxfId="6"/>
    <tableColumn id="5" xr3:uid="{144B008C-C122-4B85-8277-23A0A6F65B91}" uniqueName="5" name="Prioridad" queryTableFieldId="19" dataDxfId="5"/>
    <tableColumn id="6" xr3:uid="{7EC6A8A5-15E3-4F20-8A24-575317D56BBC}" uniqueName="6" name="Estado" queryTableFieldId="6" dataDxfId="4"/>
    <tableColumn id="8" xr3:uid="{442C610D-A554-407C-96D7-AFADDE5E7FA3}" uniqueName="8" name="Tiempo estimado" queryTableFieldId="8" dataDxfId="3"/>
    <tableColumn id="9" xr3:uid="{05C3BC26-2C03-486B-ADDA-5FB697A3E7F7}" uniqueName="9" name="Tiempo real" queryTableFieldId="9" dataDxfId="2"/>
    <tableColumn id="11" xr3:uid="{F96AE010-7131-4648-B49D-FDD8BDD5D47F}" uniqueName="11" name="Fecha Solicitud" queryTableFieldId="25" dataDxfId="1"/>
    <tableColumn id="7" xr3:uid="{9F76700C-53CB-4ABB-B2FC-D1B0D11212F8}" uniqueName="7" name="Deadline" queryTableFieldId="20" dataDxfId="0"/>
  </tableColumns>
  <tableStyleInfo name="TableStyleMedium16 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F624-DB10-4D4A-AD18-5EC2C13BFDD8}">
  <sheetPr>
    <pageSetUpPr fitToPage="1"/>
  </sheetPr>
  <dimension ref="B2:AN58"/>
  <sheetViews>
    <sheetView showGridLines="0" tabSelected="1" zoomScaleNormal="100" workbookViewId="0"/>
  </sheetViews>
  <sheetFormatPr baseColWidth="10" defaultColWidth="11.42578125" defaultRowHeight="18.75" customHeight="1" x14ac:dyDescent="0.25"/>
  <cols>
    <col min="1" max="2" width="5.5703125" style="1" customWidth="1"/>
    <col min="3" max="3" width="10" style="1" customWidth="1"/>
    <col min="4" max="4" width="69" style="1" customWidth="1"/>
    <col min="5" max="5" width="67.140625" style="1" hidden="1" customWidth="1"/>
    <col min="6" max="35" width="5.5703125" style="1" customWidth="1"/>
    <col min="36" max="36" width="5.5703125" style="5" customWidth="1"/>
    <col min="37" max="37" width="8.5703125" style="1" customWidth="1"/>
    <col min="38" max="16384" width="11.42578125" style="1"/>
  </cols>
  <sheetData>
    <row r="2" spans="2:40" ht="37.5" x14ac:dyDescent="0.25">
      <c r="B2" s="22" t="s">
        <v>58</v>
      </c>
    </row>
    <row r="3" spans="2:40" ht="18.75" customHeight="1" x14ac:dyDescent="0.25">
      <c r="B3" s="23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</row>
    <row r="4" spans="2:40" ht="18.75" customHeight="1" x14ac:dyDescent="0.25"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</row>
    <row r="5" spans="2:40" s="14" customFormat="1" ht="18.75" customHeight="1" x14ac:dyDescent="0.25">
      <c r="F5" s="49">
        <f>COUNTA(F8:L8)-COUNTBLANK(F11:L11)</f>
        <v>1</v>
      </c>
      <c r="G5" s="49"/>
      <c r="H5" s="49"/>
      <c r="I5" s="49"/>
      <c r="J5" s="49"/>
      <c r="K5" s="49"/>
      <c r="L5" s="49"/>
      <c r="M5" s="49">
        <f>COUNTA(M8:S8)-COUNTBLANK(M11:S11)</f>
        <v>1</v>
      </c>
      <c r="N5" s="49"/>
      <c r="O5" s="49"/>
      <c r="P5" s="49"/>
      <c r="Q5" s="49"/>
      <c r="R5" s="49"/>
      <c r="S5" s="49"/>
      <c r="T5" s="49">
        <f>COUNTA(T8:Z8)-COUNTBLANK(T11:Z11)</f>
        <v>1</v>
      </c>
      <c r="U5" s="49"/>
      <c r="V5" s="49"/>
      <c r="W5" s="49"/>
      <c r="X5" s="49"/>
      <c r="Y5" s="49"/>
      <c r="Z5" s="49"/>
      <c r="AA5" s="49">
        <f>COUNTA(AA8:AG8)-COUNTBLANK(AA11:AG11)</f>
        <v>1</v>
      </c>
      <c r="AB5" s="49"/>
      <c r="AC5" s="49"/>
      <c r="AD5" s="49"/>
      <c r="AE5" s="49"/>
      <c r="AF5" s="49"/>
      <c r="AG5" s="49"/>
      <c r="AH5" s="49">
        <f>COUNTA(AH8:AI8)-COUNTBLANK(AH11:AI11)</f>
        <v>0</v>
      </c>
      <c r="AI5" s="49"/>
      <c r="AJ5" s="47"/>
      <c r="AK5" s="47"/>
      <c r="AL5" s="47"/>
      <c r="AM5" s="47"/>
      <c r="AN5" s="47"/>
    </row>
    <row r="6" spans="2:40" s="5" customFormat="1" ht="18.75" customHeight="1" x14ac:dyDescent="0.25">
      <c r="B6" s="3"/>
      <c r="C6" s="3"/>
      <c r="D6" s="3"/>
      <c r="E6" s="3"/>
      <c r="F6" s="25">
        <f>(COUNTA($B:$B)-2)-COUNTBLANK(F9:F37)</f>
        <v>1</v>
      </c>
      <c r="G6" s="25">
        <f>(COUNTA($B:$B)-2)-COUNTBLANK(G9:G37)</f>
        <v>1</v>
      </c>
      <c r="H6" s="25">
        <f>(COUNTA($B:$B)-2)-COUNTBLANK(H9:H37)</f>
        <v>1</v>
      </c>
      <c r="I6" s="25">
        <f>(COUNTA($B:$B)-2)-COUNTBLANK(I9:I37)</f>
        <v>1</v>
      </c>
      <c r="J6" s="25">
        <f>(COUNTA($B:$B)-2)-COUNTBLANK(J9:J37)</f>
        <v>1</v>
      </c>
      <c r="K6" s="25">
        <f>(COUNTA($B:$B)-2)-COUNTBLANK(K9:K37)</f>
        <v>7</v>
      </c>
      <c r="L6" s="25">
        <f>(COUNTA($B:$B)-2)-COUNTBLANK(L9:L37)</f>
        <v>8</v>
      </c>
      <c r="M6" s="25">
        <f>(COUNTA($B:$B)-2)-COUNTBLANK(M9:M37)</f>
        <v>1</v>
      </c>
      <c r="N6" s="25">
        <f>(COUNTA($B:$B)-2)-COUNTBLANK(N9:N37)</f>
        <v>1</v>
      </c>
      <c r="O6" s="25">
        <f>(COUNTA($B:$B)-2)-COUNTBLANK(O9:O37)</f>
        <v>1</v>
      </c>
      <c r="P6" s="25">
        <f>(COUNTA($B:$B)-2)-COUNTBLANK(P9:P37)</f>
        <v>1</v>
      </c>
      <c r="Q6" s="25">
        <f>(COUNTA($B:$B)-2)-COUNTBLANK(Q9:Q37)</f>
        <v>1</v>
      </c>
      <c r="R6" s="25">
        <f>(COUNTA($B:$B)-2)-COUNTBLANK(R9:R37)</f>
        <v>7</v>
      </c>
      <c r="S6" s="25">
        <f>(COUNTA($B:$B)-2)-COUNTBLANK(S9:S37)</f>
        <v>8</v>
      </c>
      <c r="T6" s="25">
        <f>(COUNTA($B:$B)-2)-COUNTBLANK(T9:T37)</f>
        <v>1</v>
      </c>
      <c r="U6" s="25">
        <f>(COUNTA($B:$B)-2)-COUNTBLANK(U9:U37)</f>
        <v>1</v>
      </c>
      <c r="V6" s="25">
        <f>(COUNTA($B:$B)-2)-COUNTBLANK(V9:V37)</f>
        <v>1</v>
      </c>
      <c r="W6" s="25">
        <f>(COUNTA($B:$B)-2)-COUNTBLANK(W9:W37)</f>
        <v>1</v>
      </c>
      <c r="X6" s="25">
        <f>(COUNTA($B:$B)-2)-COUNTBLANK(X9:X37)</f>
        <v>1</v>
      </c>
      <c r="Y6" s="25">
        <f>(COUNTA($B:$B)-2)-COUNTBLANK(Y9:Y37)</f>
        <v>7</v>
      </c>
      <c r="Z6" s="25">
        <f>(COUNTA($B:$B)-2)-COUNTBLANK(Z9:Z37)</f>
        <v>8</v>
      </c>
      <c r="AA6" s="25">
        <f>(COUNTA($B:$B)-2)-COUNTBLANK(AA9:AA37)</f>
        <v>1</v>
      </c>
      <c r="AB6" s="25">
        <f>(COUNTA($B:$B)-2)-COUNTBLANK(AB9:AB37)</f>
        <v>1</v>
      </c>
      <c r="AC6" s="25">
        <f>(COUNTA($B:$B)-2)-COUNTBLANK(AC9:AC37)</f>
        <v>1</v>
      </c>
      <c r="AD6" s="25">
        <f>(COUNTA($B:$B)-2)-COUNTBLANK(AD9:AD37)</f>
        <v>1</v>
      </c>
      <c r="AE6" s="25">
        <f>(COUNTA($B:$B)-2)-COUNTBLANK(AE9:AE37)</f>
        <v>1</v>
      </c>
      <c r="AF6" s="25">
        <f>(COUNTA($B:$B)-2)-COUNTBLANK(AF9:AF37)</f>
        <v>7</v>
      </c>
      <c r="AG6" s="25">
        <f>(COUNTA($B:$B)-2)-COUNTBLANK(AG9:AG37)</f>
        <v>8</v>
      </c>
      <c r="AH6" s="25">
        <f>(COUNTA($B:$B)-2)-COUNTBLANK(AH9:AH37)</f>
        <v>7</v>
      </c>
      <c r="AI6" s="25">
        <f>(COUNTA($B:$B)-2)-COUNTBLANK(AI9:AI37)</f>
        <v>3</v>
      </c>
      <c r="AJ6" s="26"/>
      <c r="AK6" s="3"/>
    </row>
    <row r="7" spans="2:40" ht="18.75" customHeight="1" x14ac:dyDescent="0.25">
      <c r="B7" s="4"/>
      <c r="C7" s="4"/>
      <c r="D7" s="11"/>
      <c r="E7" s="30"/>
      <c r="F7" s="34" t="s">
        <v>2</v>
      </c>
      <c r="G7" s="34" t="s">
        <v>3</v>
      </c>
      <c r="H7" s="34" t="s">
        <v>4</v>
      </c>
      <c r="I7" s="36" t="s">
        <v>5</v>
      </c>
      <c r="J7" s="36" t="s">
        <v>6</v>
      </c>
      <c r="K7" s="24" t="s">
        <v>0</v>
      </c>
      <c r="L7" s="24" t="s">
        <v>1</v>
      </c>
      <c r="M7" s="44" t="s">
        <v>2</v>
      </c>
      <c r="N7" s="36" t="s">
        <v>3</v>
      </c>
      <c r="O7" s="36" t="s">
        <v>4</v>
      </c>
      <c r="P7" s="36" t="s">
        <v>5</v>
      </c>
      <c r="Q7" s="36" t="s">
        <v>6</v>
      </c>
      <c r="R7" s="24" t="s">
        <v>0</v>
      </c>
      <c r="S7" s="24" t="s">
        <v>1</v>
      </c>
      <c r="T7" s="44" t="s">
        <v>2</v>
      </c>
      <c r="U7" s="36" t="s">
        <v>3</v>
      </c>
      <c r="V7" s="36" t="s">
        <v>4</v>
      </c>
      <c r="W7" s="36" t="s">
        <v>5</v>
      </c>
      <c r="X7" s="36" t="s">
        <v>6</v>
      </c>
      <c r="Y7" s="24" t="s">
        <v>0</v>
      </c>
      <c r="Z7" s="24" t="s">
        <v>1</v>
      </c>
      <c r="AA7" s="44" t="s">
        <v>2</v>
      </c>
      <c r="AB7" s="36" t="s">
        <v>3</v>
      </c>
      <c r="AC7" s="36" t="s">
        <v>4</v>
      </c>
      <c r="AD7" s="36" t="s">
        <v>5</v>
      </c>
      <c r="AE7" s="36" t="s">
        <v>6</v>
      </c>
      <c r="AF7" s="24" t="s">
        <v>0</v>
      </c>
      <c r="AG7" s="24" t="s">
        <v>1</v>
      </c>
      <c r="AH7" s="44" t="s">
        <v>2</v>
      </c>
      <c r="AI7" s="36" t="s">
        <v>3</v>
      </c>
      <c r="AJ7" s="3"/>
      <c r="AK7" s="4"/>
    </row>
    <row r="8" spans="2:40" ht="18.75" customHeight="1" x14ac:dyDescent="0.25">
      <c r="B8" s="4" t="s">
        <v>13</v>
      </c>
      <c r="C8" s="16" t="s">
        <v>11</v>
      </c>
      <c r="D8" s="17" t="s">
        <v>10</v>
      </c>
      <c r="E8" s="31" t="s">
        <v>12</v>
      </c>
      <c r="F8" s="35" t="s">
        <v>28</v>
      </c>
      <c r="G8" s="35" t="s">
        <v>29</v>
      </c>
      <c r="H8" s="35" t="s">
        <v>30</v>
      </c>
      <c r="I8" s="37" t="s">
        <v>31</v>
      </c>
      <c r="J8" s="37" t="s">
        <v>32</v>
      </c>
      <c r="K8" s="15" t="s">
        <v>33</v>
      </c>
      <c r="L8" s="15" t="s">
        <v>34</v>
      </c>
      <c r="M8" s="45" t="s">
        <v>35</v>
      </c>
      <c r="N8" s="37" t="s">
        <v>36</v>
      </c>
      <c r="O8" s="37" t="s">
        <v>37</v>
      </c>
      <c r="P8" s="37" t="s">
        <v>38</v>
      </c>
      <c r="Q8" s="37" t="s">
        <v>39</v>
      </c>
      <c r="R8" s="15" t="s">
        <v>40</v>
      </c>
      <c r="S8" s="15" t="s">
        <v>41</v>
      </c>
      <c r="T8" s="45" t="s">
        <v>42</v>
      </c>
      <c r="U8" s="37" t="s">
        <v>43</v>
      </c>
      <c r="V8" s="37" t="s">
        <v>44</v>
      </c>
      <c r="W8" s="37" t="s">
        <v>45</v>
      </c>
      <c r="X8" s="37" t="s">
        <v>46</v>
      </c>
      <c r="Y8" s="15" t="s">
        <v>47</v>
      </c>
      <c r="Z8" s="15" t="s">
        <v>48</v>
      </c>
      <c r="AA8" s="45" t="s">
        <v>49</v>
      </c>
      <c r="AB8" s="37" t="s">
        <v>50</v>
      </c>
      <c r="AC8" s="37" t="s">
        <v>51</v>
      </c>
      <c r="AD8" s="37" t="s">
        <v>52</v>
      </c>
      <c r="AE8" s="37" t="s">
        <v>53</v>
      </c>
      <c r="AF8" s="15" t="s">
        <v>54</v>
      </c>
      <c r="AG8" s="15" t="s">
        <v>55</v>
      </c>
      <c r="AH8" s="45" t="s">
        <v>56</v>
      </c>
      <c r="AI8" s="37" t="s">
        <v>57</v>
      </c>
      <c r="AJ8" s="3"/>
      <c r="AK8" s="4"/>
    </row>
    <row r="9" spans="2:40" ht="18.75" customHeight="1" x14ac:dyDescent="0.25">
      <c r="B9" s="4">
        <f t="shared" ref="B9:B37" si="0">ROW()-8</f>
        <v>1</v>
      </c>
      <c r="C9" s="2" t="s">
        <v>26</v>
      </c>
      <c r="D9" s="11" t="s">
        <v>104</v>
      </c>
      <c r="E9" s="30" t="s">
        <v>73</v>
      </c>
      <c r="F9" s="2"/>
      <c r="G9" s="2"/>
      <c r="H9" s="2"/>
      <c r="I9" s="2"/>
      <c r="J9" s="28" t="b">
        <v>0</v>
      </c>
      <c r="K9" s="2"/>
      <c r="L9" s="2"/>
      <c r="M9" s="42"/>
      <c r="N9" s="2"/>
      <c r="O9" s="2"/>
      <c r="P9" s="2"/>
      <c r="Q9" s="28" t="b">
        <v>0</v>
      </c>
      <c r="R9" s="2"/>
      <c r="S9" s="2"/>
      <c r="T9" s="42"/>
      <c r="U9" s="2"/>
      <c r="V9" s="2"/>
      <c r="W9" s="2"/>
      <c r="X9" s="28" t="b">
        <v>0</v>
      </c>
      <c r="Y9" s="2"/>
      <c r="Z9" s="2"/>
      <c r="AA9" s="42"/>
      <c r="AB9" s="2"/>
      <c r="AC9" s="2"/>
      <c r="AD9" s="2"/>
      <c r="AE9" s="28" t="b">
        <v>0</v>
      </c>
      <c r="AF9" s="2"/>
      <c r="AG9" s="2"/>
      <c r="AH9" s="42"/>
      <c r="AI9" s="12"/>
      <c r="AJ9" s="27">
        <f>COUNTA($F$8:$AI$8)-COUNTBLANK(F9:AI9)</f>
        <v>4</v>
      </c>
      <c r="AK9" s="4"/>
    </row>
    <row r="10" spans="2:40" ht="18.75" customHeight="1" x14ac:dyDescent="0.25">
      <c r="B10" s="4">
        <f t="shared" si="0"/>
        <v>2</v>
      </c>
      <c r="C10" s="2" t="s">
        <v>26</v>
      </c>
      <c r="D10" s="11" t="s">
        <v>74</v>
      </c>
      <c r="E10" s="30" t="s">
        <v>95</v>
      </c>
      <c r="F10" s="2"/>
      <c r="G10" s="2"/>
      <c r="H10" s="2"/>
      <c r="I10" s="2"/>
      <c r="J10" s="40"/>
      <c r="K10" s="28" t="b">
        <v>0</v>
      </c>
      <c r="L10" s="2"/>
      <c r="M10" s="42"/>
      <c r="N10" s="2"/>
      <c r="O10" s="2"/>
      <c r="P10" s="2"/>
      <c r="Q10" s="2"/>
      <c r="R10" s="28" t="b">
        <v>0</v>
      </c>
      <c r="S10" s="2"/>
      <c r="T10" s="42"/>
      <c r="U10" s="2"/>
      <c r="V10" s="2"/>
      <c r="W10" s="2"/>
      <c r="X10" s="2"/>
      <c r="Y10" s="28" t="b">
        <v>0</v>
      </c>
      <c r="Z10" s="2"/>
      <c r="AA10" s="42"/>
      <c r="AB10" s="2"/>
      <c r="AC10" s="2"/>
      <c r="AD10" s="2"/>
      <c r="AF10" s="28" t="b">
        <v>0</v>
      </c>
      <c r="AG10" s="2"/>
      <c r="AH10" s="42"/>
      <c r="AI10" s="12"/>
      <c r="AJ10" s="27">
        <f t="shared" ref="AJ10:AJ37" si="1">COUNTA($F$8:$AI$8)-COUNTBLANK(F10:AI10)</f>
        <v>4</v>
      </c>
      <c r="AK10" s="4"/>
    </row>
    <row r="11" spans="2:40" ht="18.75" customHeight="1" x14ac:dyDescent="0.25">
      <c r="B11" s="4">
        <f>ROW()-8</f>
        <v>3</v>
      </c>
      <c r="C11" s="2" t="s">
        <v>26</v>
      </c>
      <c r="D11" s="11" t="s">
        <v>59</v>
      </c>
      <c r="E11" s="30"/>
      <c r="F11" s="2"/>
      <c r="G11" s="2"/>
      <c r="H11" s="2"/>
      <c r="I11" s="2"/>
      <c r="J11" s="40"/>
      <c r="K11" s="28" t="b">
        <v>0</v>
      </c>
      <c r="L11" s="2"/>
      <c r="M11" s="42"/>
      <c r="N11" s="2"/>
      <c r="O11" s="2"/>
      <c r="P11" s="2"/>
      <c r="Q11" s="2"/>
      <c r="R11" s="28" t="b">
        <v>0</v>
      </c>
      <c r="S11" s="2"/>
      <c r="T11" s="42"/>
      <c r="U11" s="2"/>
      <c r="V11" s="2"/>
      <c r="W11" s="2"/>
      <c r="X11" s="2"/>
      <c r="Y11" s="28" t="b">
        <v>0</v>
      </c>
      <c r="Z11" s="2"/>
      <c r="AA11" s="42"/>
      <c r="AB11" s="2"/>
      <c r="AC11" s="2"/>
      <c r="AD11" s="2"/>
      <c r="AF11" s="28" t="b">
        <v>0</v>
      </c>
      <c r="AG11" s="2"/>
      <c r="AH11" s="42"/>
      <c r="AI11" s="12"/>
      <c r="AJ11" s="27">
        <f t="shared" si="1"/>
        <v>4</v>
      </c>
      <c r="AK11" s="3"/>
    </row>
    <row r="12" spans="2:40" ht="18.75" customHeight="1" x14ac:dyDescent="0.25">
      <c r="B12" s="4">
        <f t="shared" si="0"/>
        <v>4</v>
      </c>
      <c r="C12" s="2" t="s">
        <v>26</v>
      </c>
      <c r="D12" s="11" t="s">
        <v>60</v>
      </c>
      <c r="E12" s="30"/>
      <c r="F12" s="2"/>
      <c r="G12" s="2"/>
      <c r="H12" s="2"/>
      <c r="I12" s="2"/>
      <c r="J12" s="40"/>
      <c r="K12" s="28" t="b">
        <v>0</v>
      </c>
      <c r="L12" s="2"/>
      <c r="M12" s="42"/>
      <c r="N12" s="2"/>
      <c r="O12" s="2"/>
      <c r="P12" s="2"/>
      <c r="Q12" s="2"/>
      <c r="R12" s="28" t="b">
        <v>0</v>
      </c>
      <c r="S12" s="2"/>
      <c r="T12" s="42"/>
      <c r="U12" s="2"/>
      <c r="V12" s="2"/>
      <c r="W12" s="2"/>
      <c r="X12" s="2"/>
      <c r="Y12" s="28" t="b">
        <v>0</v>
      </c>
      <c r="Z12" s="2"/>
      <c r="AA12" s="42"/>
      <c r="AB12" s="2"/>
      <c r="AC12" s="2"/>
      <c r="AD12" s="2"/>
      <c r="AF12" s="28" t="b">
        <v>0</v>
      </c>
      <c r="AG12" s="2"/>
      <c r="AH12" s="42"/>
      <c r="AI12" s="12"/>
      <c r="AJ12" s="27">
        <f t="shared" si="1"/>
        <v>4</v>
      </c>
      <c r="AK12" s="3"/>
    </row>
    <row r="13" spans="2:40" ht="18.75" customHeight="1" x14ac:dyDescent="0.25">
      <c r="B13" s="4">
        <f t="shared" si="0"/>
        <v>5</v>
      </c>
      <c r="C13" s="2" t="s">
        <v>26</v>
      </c>
      <c r="D13" s="11" t="s">
        <v>61</v>
      </c>
      <c r="E13" s="30"/>
      <c r="F13" s="2"/>
      <c r="G13" s="2"/>
      <c r="H13" s="2"/>
      <c r="I13" s="2"/>
      <c r="J13" s="40"/>
      <c r="K13" s="28" t="b">
        <v>0</v>
      </c>
      <c r="L13" s="2"/>
      <c r="M13" s="42"/>
      <c r="N13" s="2"/>
      <c r="O13" s="2"/>
      <c r="P13" s="2"/>
      <c r="Q13" s="2"/>
      <c r="R13" s="28" t="b">
        <v>0</v>
      </c>
      <c r="S13" s="12"/>
      <c r="T13" s="50"/>
      <c r="U13" s="2"/>
      <c r="V13" s="2"/>
      <c r="W13" s="2"/>
      <c r="X13" s="2"/>
      <c r="Y13" s="28" t="b">
        <v>0</v>
      </c>
      <c r="Z13" s="12"/>
      <c r="AA13" s="50"/>
      <c r="AB13" s="2"/>
      <c r="AC13" s="2"/>
      <c r="AD13" s="2"/>
      <c r="AF13" s="28" t="b">
        <v>0</v>
      </c>
      <c r="AG13" s="2"/>
      <c r="AH13" s="42"/>
      <c r="AI13" s="12"/>
      <c r="AJ13" s="27">
        <f t="shared" si="1"/>
        <v>4</v>
      </c>
      <c r="AK13" s="3"/>
    </row>
    <row r="14" spans="2:40" ht="18.75" customHeight="1" x14ac:dyDescent="0.25">
      <c r="B14" s="4">
        <f t="shared" si="0"/>
        <v>6</v>
      </c>
      <c r="C14" s="2" t="s">
        <v>26</v>
      </c>
      <c r="D14" s="11" t="s">
        <v>75</v>
      </c>
      <c r="E14" s="30"/>
      <c r="F14" s="2"/>
      <c r="G14" s="2"/>
      <c r="H14" s="2"/>
      <c r="I14" s="2"/>
      <c r="J14" s="40"/>
      <c r="K14" s="28" t="b">
        <v>0</v>
      </c>
      <c r="L14" s="12"/>
      <c r="M14" s="50"/>
      <c r="N14" s="2"/>
      <c r="O14" s="2"/>
      <c r="P14" s="2"/>
      <c r="Q14" s="2"/>
      <c r="R14" s="28" t="b">
        <v>0</v>
      </c>
      <c r="S14" s="12"/>
      <c r="T14" s="50"/>
      <c r="U14" s="2"/>
      <c r="V14" s="2"/>
      <c r="W14" s="2"/>
      <c r="X14" s="2"/>
      <c r="Y14" s="28" t="b">
        <v>0</v>
      </c>
      <c r="Z14" s="12"/>
      <c r="AA14" s="50"/>
      <c r="AB14" s="2"/>
      <c r="AC14" s="2"/>
      <c r="AD14" s="2"/>
      <c r="AF14" s="28" t="b">
        <v>0</v>
      </c>
      <c r="AG14" s="2"/>
      <c r="AH14" s="42"/>
      <c r="AI14" s="12"/>
      <c r="AJ14" s="27">
        <f t="shared" si="1"/>
        <v>4</v>
      </c>
      <c r="AK14" s="3"/>
    </row>
    <row r="15" spans="2:40" ht="18.75" customHeight="1" x14ac:dyDescent="0.25">
      <c r="B15" s="4">
        <f>ROW()-8</f>
        <v>7</v>
      </c>
      <c r="C15" s="2" t="s">
        <v>26</v>
      </c>
      <c r="D15" s="11" t="s">
        <v>76</v>
      </c>
      <c r="E15" s="30"/>
      <c r="F15" s="2"/>
      <c r="G15" s="2"/>
      <c r="H15" s="2"/>
      <c r="I15" s="2"/>
      <c r="J15" s="40"/>
      <c r="K15" s="28" t="b">
        <v>0</v>
      </c>
      <c r="L15" s="12"/>
      <c r="M15" s="50"/>
      <c r="N15" s="2"/>
      <c r="O15" s="2"/>
      <c r="P15" s="2"/>
      <c r="Q15" s="2"/>
      <c r="R15" s="28" t="b">
        <v>0</v>
      </c>
      <c r="S15" s="12"/>
      <c r="T15" s="50"/>
      <c r="U15" s="2"/>
      <c r="V15" s="2"/>
      <c r="W15" s="2"/>
      <c r="X15" s="2"/>
      <c r="Y15" s="28" t="b">
        <v>0</v>
      </c>
      <c r="Z15" s="12"/>
      <c r="AA15" s="50"/>
      <c r="AB15" s="2"/>
      <c r="AC15" s="2"/>
      <c r="AD15" s="2"/>
      <c r="AF15" s="28" t="b">
        <v>0</v>
      </c>
      <c r="AG15" s="2"/>
      <c r="AH15" s="42"/>
      <c r="AI15" s="12"/>
      <c r="AJ15" s="27">
        <f t="shared" si="1"/>
        <v>4</v>
      </c>
      <c r="AK15" s="3"/>
    </row>
    <row r="16" spans="2:40" ht="18.75" customHeight="1" x14ac:dyDescent="0.25">
      <c r="B16" s="4">
        <f t="shared" si="0"/>
        <v>8</v>
      </c>
      <c r="C16" s="2" t="s">
        <v>26</v>
      </c>
      <c r="D16" s="11" t="s">
        <v>62</v>
      </c>
      <c r="E16" s="30"/>
      <c r="F16" s="2"/>
      <c r="G16" s="2"/>
      <c r="H16" s="2"/>
      <c r="I16" s="2"/>
      <c r="J16" s="40"/>
      <c r="K16" s="28" t="b">
        <v>0</v>
      </c>
      <c r="L16" s="12"/>
      <c r="M16" s="50"/>
      <c r="N16" s="2"/>
      <c r="O16" s="2"/>
      <c r="P16" s="2"/>
      <c r="Q16" s="2"/>
      <c r="R16" s="28" t="b">
        <v>0</v>
      </c>
      <c r="S16" s="12"/>
      <c r="T16" s="50"/>
      <c r="U16" s="2"/>
      <c r="V16" s="2"/>
      <c r="W16" s="2"/>
      <c r="X16" s="2"/>
      <c r="Y16" s="28" t="b">
        <v>0</v>
      </c>
      <c r="Z16" s="12"/>
      <c r="AA16" s="50"/>
      <c r="AB16" s="2"/>
      <c r="AC16" s="2"/>
      <c r="AD16" s="2"/>
      <c r="AF16" s="28" t="b">
        <v>0</v>
      </c>
      <c r="AG16" s="12"/>
      <c r="AH16" s="50"/>
      <c r="AI16" s="12"/>
      <c r="AJ16" s="27">
        <f t="shared" si="1"/>
        <v>4</v>
      </c>
      <c r="AK16" s="3"/>
    </row>
    <row r="17" spans="2:37" ht="18.75" customHeight="1" x14ac:dyDescent="0.25">
      <c r="B17" s="4">
        <f t="shared" si="0"/>
        <v>9</v>
      </c>
      <c r="C17" s="2" t="s">
        <v>26</v>
      </c>
      <c r="D17" s="11" t="s">
        <v>103</v>
      </c>
      <c r="E17" s="30"/>
      <c r="F17" s="2"/>
      <c r="G17" s="2"/>
      <c r="H17" s="2"/>
      <c r="I17" s="28" t="b">
        <v>0</v>
      </c>
      <c r="J17" s="40"/>
      <c r="K17" s="2"/>
      <c r="L17" s="12"/>
      <c r="M17" s="50"/>
      <c r="N17" s="2"/>
      <c r="O17" s="2"/>
      <c r="P17" s="28" t="b">
        <v>0</v>
      </c>
      <c r="Q17" s="2"/>
      <c r="R17" s="2"/>
      <c r="S17" s="12"/>
      <c r="T17" s="50"/>
      <c r="U17" s="2"/>
      <c r="V17" s="2"/>
      <c r="W17" s="28" t="b">
        <v>0</v>
      </c>
      <c r="X17" s="2"/>
      <c r="Y17" s="2"/>
      <c r="Z17" s="12"/>
      <c r="AA17" s="50"/>
      <c r="AB17" s="2"/>
      <c r="AC17" s="2"/>
      <c r="AD17" s="28" t="b">
        <v>0</v>
      </c>
      <c r="AF17" s="2"/>
      <c r="AG17" s="12"/>
      <c r="AH17" s="50"/>
      <c r="AI17" s="12"/>
      <c r="AJ17" s="27">
        <f t="shared" si="1"/>
        <v>4</v>
      </c>
      <c r="AK17" s="3"/>
    </row>
    <row r="18" spans="2:37" ht="18.75" customHeight="1" x14ac:dyDescent="0.25">
      <c r="B18" s="4">
        <f t="shared" si="0"/>
        <v>10</v>
      </c>
      <c r="C18" s="2" t="s">
        <v>26</v>
      </c>
      <c r="D18" s="11" t="s">
        <v>102</v>
      </c>
      <c r="E18" s="30"/>
      <c r="F18" s="2"/>
      <c r="G18" s="2"/>
      <c r="H18" s="28" t="b">
        <v>0</v>
      </c>
      <c r="I18" s="2"/>
      <c r="J18" s="40"/>
      <c r="K18" s="2"/>
      <c r="L18" s="12"/>
      <c r="M18" s="50"/>
      <c r="N18" s="2"/>
      <c r="O18" s="28" t="b">
        <v>0</v>
      </c>
      <c r="P18" s="2"/>
      <c r="Q18" s="2"/>
      <c r="R18" s="2"/>
      <c r="S18" s="12"/>
      <c r="T18" s="50"/>
      <c r="U18" s="2"/>
      <c r="V18" s="28" t="b">
        <v>0</v>
      </c>
      <c r="W18" s="2"/>
      <c r="X18" s="2"/>
      <c r="Y18" s="2"/>
      <c r="Z18" s="12"/>
      <c r="AA18" s="50"/>
      <c r="AB18" s="2"/>
      <c r="AC18" s="28" t="b">
        <v>0</v>
      </c>
      <c r="AD18" s="2"/>
      <c r="AF18" s="2"/>
      <c r="AG18" s="12"/>
      <c r="AH18" s="50"/>
      <c r="AI18" s="12"/>
      <c r="AJ18" s="27">
        <f t="shared" si="1"/>
        <v>4</v>
      </c>
      <c r="AK18" s="3"/>
    </row>
    <row r="19" spans="2:37" ht="18.75" customHeight="1" x14ac:dyDescent="0.25">
      <c r="B19" s="4">
        <f t="shared" si="0"/>
        <v>11</v>
      </c>
      <c r="C19" s="2" t="s">
        <v>26</v>
      </c>
      <c r="D19" s="11" t="s">
        <v>100</v>
      </c>
      <c r="E19" s="30"/>
      <c r="F19" s="28" t="b">
        <v>0</v>
      </c>
      <c r="G19" s="2"/>
      <c r="H19" s="2"/>
      <c r="I19" s="2"/>
      <c r="J19" s="40"/>
      <c r="K19" s="2"/>
      <c r="L19" s="12"/>
      <c r="M19" s="28" t="b">
        <v>0</v>
      </c>
      <c r="N19" s="2"/>
      <c r="O19" s="2"/>
      <c r="P19" s="2"/>
      <c r="Q19" s="2"/>
      <c r="R19" s="2"/>
      <c r="S19" s="12"/>
      <c r="T19" s="28" t="b">
        <v>0</v>
      </c>
      <c r="U19" s="2"/>
      <c r="V19" s="2"/>
      <c r="W19" s="2"/>
      <c r="X19" s="2"/>
      <c r="Y19" s="2"/>
      <c r="Z19" s="12"/>
      <c r="AA19" s="28" t="b">
        <v>0</v>
      </c>
      <c r="AB19" s="2"/>
      <c r="AC19" s="2"/>
      <c r="AD19" s="2"/>
      <c r="AF19" s="2"/>
      <c r="AG19" s="12"/>
      <c r="AH19" s="28" t="b">
        <v>0</v>
      </c>
      <c r="AI19" s="12"/>
      <c r="AJ19" s="27">
        <f t="shared" si="1"/>
        <v>5</v>
      </c>
      <c r="AK19" s="3"/>
    </row>
    <row r="20" spans="2:37" ht="18.75" customHeight="1" x14ac:dyDescent="0.25">
      <c r="B20" s="4">
        <f>ROW()-8</f>
        <v>12</v>
      </c>
      <c r="C20" s="2" t="s">
        <v>26</v>
      </c>
      <c r="D20" s="11" t="s">
        <v>101</v>
      </c>
      <c r="E20" s="30"/>
      <c r="F20" s="2"/>
      <c r="G20" s="28" t="b">
        <v>0</v>
      </c>
      <c r="H20" s="2"/>
      <c r="I20" s="2"/>
      <c r="J20" s="40"/>
      <c r="K20" s="2"/>
      <c r="L20" s="12"/>
      <c r="M20" s="50"/>
      <c r="N20" s="28" t="b">
        <v>0</v>
      </c>
      <c r="O20" s="2"/>
      <c r="P20" s="2"/>
      <c r="Q20" s="2"/>
      <c r="R20" s="2"/>
      <c r="S20" s="12"/>
      <c r="T20" s="50"/>
      <c r="U20" s="28" t="b">
        <v>0</v>
      </c>
      <c r="V20" s="2"/>
      <c r="W20" s="2"/>
      <c r="X20" s="2"/>
      <c r="Y20" s="2"/>
      <c r="Z20" s="12"/>
      <c r="AA20" s="50"/>
      <c r="AB20" s="28" t="b">
        <v>0</v>
      </c>
      <c r="AC20" s="2"/>
      <c r="AD20" s="2"/>
      <c r="AF20" s="2"/>
      <c r="AG20" s="12"/>
      <c r="AH20" s="50"/>
      <c r="AI20" s="38" t="b">
        <v>0</v>
      </c>
      <c r="AJ20" s="27">
        <f t="shared" si="1"/>
        <v>5</v>
      </c>
      <c r="AK20" s="3"/>
    </row>
    <row r="21" spans="2:37" ht="18.75" customHeight="1" x14ac:dyDescent="0.25">
      <c r="B21" s="4">
        <f t="shared" si="0"/>
        <v>13</v>
      </c>
      <c r="C21" s="2" t="s">
        <v>26</v>
      </c>
      <c r="D21" s="11" t="s">
        <v>78</v>
      </c>
      <c r="E21" s="30" t="s">
        <v>79</v>
      </c>
      <c r="F21" s="2"/>
      <c r="G21" s="2"/>
      <c r="H21" s="2"/>
      <c r="I21" s="2"/>
      <c r="J21" s="40"/>
      <c r="K21" s="2"/>
      <c r="L21" s="38" t="b">
        <v>0</v>
      </c>
      <c r="M21" s="50"/>
      <c r="N21" s="2"/>
      <c r="O21" s="2"/>
      <c r="P21" s="2"/>
      <c r="Q21" s="2"/>
      <c r="R21" s="2"/>
      <c r="S21" s="38" t="b">
        <v>0</v>
      </c>
      <c r="T21" s="50"/>
      <c r="U21" s="2"/>
      <c r="V21" s="2"/>
      <c r="W21" s="2"/>
      <c r="X21" s="2"/>
      <c r="Y21" s="2"/>
      <c r="Z21" s="38" t="b">
        <v>0</v>
      </c>
      <c r="AA21" s="50"/>
      <c r="AB21" s="2"/>
      <c r="AC21" s="2"/>
      <c r="AD21" s="2"/>
      <c r="AF21" s="2"/>
      <c r="AG21" s="38" t="b">
        <v>0</v>
      </c>
      <c r="AH21" s="50"/>
      <c r="AI21" s="12"/>
      <c r="AJ21" s="27">
        <f t="shared" si="1"/>
        <v>4</v>
      </c>
      <c r="AK21" s="3"/>
    </row>
    <row r="22" spans="2:37" ht="18.75" customHeight="1" x14ac:dyDescent="0.25">
      <c r="B22" s="4">
        <f>ROW()-8</f>
        <v>14</v>
      </c>
      <c r="C22" s="2" t="s">
        <v>26</v>
      </c>
      <c r="D22" s="11" t="s">
        <v>82</v>
      </c>
      <c r="E22" s="30" t="s">
        <v>83</v>
      </c>
      <c r="F22" s="2"/>
      <c r="G22" s="2"/>
      <c r="H22" s="2"/>
      <c r="I22" s="2"/>
      <c r="J22" s="40"/>
      <c r="K22" s="2"/>
      <c r="L22" s="38" t="b">
        <v>0</v>
      </c>
      <c r="M22" s="50"/>
      <c r="N22" s="2"/>
      <c r="O22" s="2"/>
      <c r="P22" s="2"/>
      <c r="Q22" s="2"/>
      <c r="R22" s="2"/>
      <c r="S22" s="38" t="b">
        <v>0</v>
      </c>
      <c r="T22" s="50"/>
      <c r="U22" s="2"/>
      <c r="V22" s="2"/>
      <c r="W22" s="2"/>
      <c r="X22" s="2"/>
      <c r="Y22" s="2"/>
      <c r="Z22" s="38" t="b">
        <v>0</v>
      </c>
      <c r="AA22" s="50"/>
      <c r="AB22" s="2"/>
      <c r="AC22" s="2"/>
      <c r="AD22" s="2"/>
      <c r="AF22" s="2"/>
      <c r="AG22" s="38" t="b">
        <v>0</v>
      </c>
      <c r="AH22" s="50"/>
      <c r="AI22" s="12"/>
      <c r="AJ22" s="27">
        <f t="shared" si="1"/>
        <v>4</v>
      </c>
      <c r="AK22" s="3"/>
    </row>
    <row r="23" spans="2:37" ht="18.75" customHeight="1" x14ac:dyDescent="0.25">
      <c r="B23" s="4">
        <f t="shared" si="0"/>
        <v>15</v>
      </c>
      <c r="C23" s="2" t="s">
        <v>26</v>
      </c>
      <c r="D23" s="11" t="s">
        <v>80</v>
      </c>
      <c r="E23" s="30" t="s">
        <v>81</v>
      </c>
      <c r="F23" s="2"/>
      <c r="G23" s="2"/>
      <c r="H23" s="2"/>
      <c r="I23" s="2"/>
      <c r="J23" s="40"/>
      <c r="K23" s="2"/>
      <c r="L23" s="38" t="b">
        <v>0</v>
      </c>
      <c r="M23" s="50"/>
      <c r="N23" s="2"/>
      <c r="O23" s="2"/>
      <c r="P23" s="2"/>
      <c r="Q23" s="2"/>
      <c r="R23" s="2"/>
      <c r="S23" s="38" t="b">
        <v>0</v>
      </c>
      <c r="T23" s="50"/>
      <c r="U23" s="2"/>
      <c r="V23" s="2"/>
      <c r="W23" s="2"/>
      <c r="X23" s="2"/>
      <c r="Y23" s="2"/>
      <c r="Z23" s="38" t="b">
        <v>0</v>
      </c>
      <c r="AA23" s="50"/>
      <c r="AB23" s="2"/>
      <c r="AC23" s="2"/>
      <c r="AD23" s="2"/>
      <c r="AF23" s="2"/>
      <c r="AG23" s="38" t="b">
        <v>0</v>
      </c>
      <c r="AH23" s="50"/>
      <c r="AI23" s="12"/>
      <c r="AJ23" s="27">
        <f t="shared" si="1"/>
        <v>4</v>
      </c>
      <c r="AK23" s="3"/>
    </row>
    <row r="24" spans="2:37" ht="18.75" customHeight="1" x14ac:dyDescent="0.25">
      <c r="B24" s="4">
        <f>ROW()-8</f>
        <v>16</v>
      </c>
      <c r="C24" s="2" t="s">
        <v>26</v>
      </c>
      <c r="D24" s="11" t="s">
        <v>97</v>
      </c>
      <c r="E24" s="39"/>
      <c r="F24" s="2"/>
      <c r="G24" s="2"/>
      <c r="H24" s="2"/>
      <c r="I24" s="2"/>
      <c r="J24" s="40"/>
      <c r="K24" s="2"/>
      <c r="L24" s="28" t="b">
        <v>0</v>
      </c>
      <c r="M24" s="42"/>
      <c r="N24" s="2"/>
      <c r="O24" s="2"/>
      <c r="P24" s="2"/>
      <c r="Q24" s="2"/>
      <c r="R24" s="2"/>
      <c r="S24" s="28" t="b">
        <v>0</v>
      </c>
      <c r="T24" s="42"/>
      <c r="U24" s="2"/>
      <c r="V24" s="2"/>
      <c r="W24" s="2"/>
      <c r="X24" s="2"/>
      <c r="Y24" s="2"/>
      <c r="Z24" s="28" t="b">
        <v>0</v>
      </c>
      <c r="AA24" s="42"/>
      <c r="AB24" s="2"/>
      <c r="AC24" s="2"/>
      <c r="AD24" s="2"/>
      <c r="AF24" s="2"/>
      <c r="AG24" s="28" t="b">
        <v>0</v>
      </c>
      <c r="AH24" s="42"/>
      <c r="AI24" s="12"/>
      <c r="AJ24" s="27">
        <f t="shared" si="1"/>
        <v>4</v>
      </c>
      <c r="AK24" s="3"/>
    </row>
    <row r="25" spans="2:37" ht="18.75" customHeight="1" x14ac:dyDescent="0.25">
      <c r="B25" s="4">
        <f>ROW()-8</f>
        <v>17</v>
      </c>
      <c r="C25" s="2" t="s">
        <v>26</v>
      </c>
      <c r="D25" s="11" t="s">
        <v>98</v>
      </c>
      <c r="E25" s="39"/>
      <c r="F25" s="2"/>
      <c r="G25" s="2"/>
      <c r="H25" s="2"/>
      <c r="I25" s="2"/>
      <c r="J25" s="40"/>
      <c r="K25" s="2"/>
      <c r="L25" s="28" t="b">
        <v>0</v>
      </c>
      <c r="M25" s="42"/>
      <c r="N25" s="2"/>
      <c r="O25" s="2"/>
      <c r="P25" s="2"/>
      <c r="Q25" s="2"/>
      <c r="R25" s="2"/>
      <c r="S25" s="28" t="b">
        <v>0</v>
      </c>
      <c r="T25" s="42"/>
      <c r="U25" s="2"/>
      <c r="V25" s="2"/>
      <c r="W25" s="2"/>
      <c r="X25" s="2"/>
      <c r="Y25" s="2"/>
      <c r="Z25" s="28" t="b">
        <v>0</v>
      </c>
      <c r="AA25" s="42"/>
      <c r="AB25" s="2"/>
      <c r="AC25" s="2"/>
      <c r="AD25" s="2"/>
      <c r="AF25" s="2"/>
      <c r="AG25" s="28" t="b">
        <v>0</v>
      </c>
      <c r="AH25" s="42"/>
      <c r="AI25" s="12"/>
      <c r="AJ25" s="27">
        <f t="shared" si="1"/>
        <v>4</v>
      </c>
      <c r="AK25" s="3"/>
    </row>
    <row r="26" spans="2:37" ht="18.75" customHeight="1" x14ac:dyDescent="0.25">
      <c r="B26" s="4">
        <f t="shared" si="0"/>
        <v>18</v>
      </c>
      <c r="C26" s="2" t="s">
        <v>26</v>
      </c>
      <c r="D26" s="11" t="s">
        <v>84</v>
      </c>
      <c r="E26" s="30" t="s">
        <v>85</v>
      </c>
      <c r="F26" s="2"/>
      <c r="G26" s="2"/>
      <c r="H26" s="2"/>
      <c r="I26" s="2"/>
      <c r="J26" s="40"/>
      <c r="K26" s="2"/>
      <c r="L26" s="28" t="b">
        <v>0</v>
      </c>
      <c r="M26" s="42"/>
      <c r="N26" s="2"/>
      <c r="O26" s="2"/>
      <c r="P26" s="2"/>
      <c r="Q26" s="2"/>
      <c r="R26" s="2"/>
      <c r="S26" s="28" t="b">
        <v>0</v>
      </c>
      <c r="T26" s="42"/>
      <c r="U26" s="2"/>
      <c r="V26" s="2"/>
      <c r="W26" s="2"/>
      <c r="X26" s="2"/>
      <c r="Y26" s="2"/>
      <c r="Z26" s="28" t="b">
        <v>0</v>
      </c>
      <c r="AA26" s="42"/>
      <c r="AB26" s="2"/>
      <c r="AC26" s="2"/>
      <c r="AD26" s="2"/>
      <c r="AF26" s="2"/>
      <c r="AG26" s="28" t="b">
        <v>0</v>
      </c>
      <c r="AH26" s="42"/>
      <c r="AI26" s="12"/>
      <c r="AJ26" s="27">
        <f t="shared" si="1"/>
        <v>4</v>
      </c>
      <c r="AK26" s="3"/>
    </row>
    <row r="27" spans="2:37" ht="18.75" customHeight="1" x14ac:dyDescent="0.25">
      <c r="B27" s="4">
        <f t="shared" si="0"/>
        <v>19</v>
      </c>
      <c r="C27" s="2" t="s">
        <v>26</v>
      </c>
      <c r="D27" s="11" t="s">
        <v>87</v>
      </c>
      <c r="E27" s="30"/>
      <c r="F27" s="2"/>
      <c r="G27" s="2"/>
      <c r="H27" s="2"/>
      <c r="I27" s="2"/>
      <c r="J27" s="40"/>
      <c r="K27" s="2"/>
      <c r="L27" s="28" t="b">
        <v>0</v>
      </c>
      <c r="M27" s="42"/>
      <c r="N27" s="2"/>
      <c r="O27" s="2"/>
      <c r="P27" s="2"/>
      <c r="Q27" s="2"/>
      <c r="R27" s="2"/>
      <c r="S27" s="28" t="b">
        <v>0</v>
      </c>
      <c r="T27" s="42"/>
      <c r="U27" s="2"/>
      <c r="V27" s="2"/>
      <c r="W27" s="2"/>
      <c r="X27" s="2"/>
      <c r="Y27" s="2"/>
      <c r="Z27" s="28" t="b">
        <v>0</v>
      </c>
      <c r="AA27" s="42"/>
      <c r="AB27" s="2"/>
      <c r="AC27" s="2"/>
      <c r="AD27" s="2"/>
      <c r="AF27" s="2"/>
      <c r="AG27" s="28" t="b">
        <v>0</v>
      </c>
      <c r="AH27" s="42"/>
      <c r="AI27" s="12"/>
      <c r="AJ27" s="27">
        <f t="shared" si="1"/>
        <v>4</v>
      </c>
      <c r="AK27" s="3"/>
    </row>
    <row r="28" spans="2:37" ht="18.75" customHeight="1" x14ac:dyDescent="0.25">
      <c r="B28" s="4">
        <f t="shared" si="0"/>
        <v>20</v>
      </c>
      <c r="C28" s="2" t="s">
        <v>26</v>
      </c>
      <c r="D28" s="13" t="s">
        <v>86</v>
      </c>
      <c r="E28" s="51"/>
      <c r="F28" s="9"/>
      <c r="G28" s="9"/>
      <c r="H28" s="9"/>
      <c r="I28" s="9"/>
      <c r="J28" s="10"/>
      <c r="K28" s="9"/>
      <c r="L28" s="48" t="b">
        <v>0</v>
      </c>
      <c r="M28" s="29"/>
      <c r="N28" s="9"/>
      <c r="O28" s="9"/>
      <c r="P28" s="9"/>
      <c r="Q28" s="9"/>
      <c r="R28" s="9"/>
      <c r="S28" s="48" t="b">
        <v>0</v>
      </c>
      <c r="T28" s="29"/>
      <c r="U28" s="9"/>
      <c r="V28" s="9"/>
      <c r="W28" s="9"/>
      <c r="X28" s="9"/>
      <c r="Y28" s="9"/>
      <c r="Z28" s="48" t="b">
        <v>0</v>
      </c>
      <c r="AA28" s="29"/>
      <c r="AB28" s="9"/>
      <c r="AC28" s="9"/>
      <c r="AD28" s="9"/>
      <c r="AE28" s="8"/>
      <c r="AF28" s="9"/>
      <c r="AG28" s="48" t="b">
        <v>0</v>
      </c>
      <c r="AH28" s="29"/>
      <c r="AI28" s="13"/>
      <c r="AJ28" s="27">
        <f t="shared" si="1"/>
        <v>4</v>
      </c>
      <c r="AK28" s="3"/>
    </row>
    <row r="29" spans="2:37" ht="18.75" customHeight="1" x14ac:dyDescent="0.25">
      <c r="B29" s="4">
        <f t="shared" si="0"/>
        <v>21</v>
      </c>
      <c r="C29" s="2" t="s">
        <v>27</v>
      </c>
      <c r="D29" s="11" t="s">
        <v>88</v>
      </c>
      <c r="E29" s="59" t="s">
        <v>89</v>
      </c>
      <c r="F29" s="41"/>
      <c r="G29" s="40"/>
      <c r="H29" s="40"/>
      <c r="I29" s="2"/>
      <c r="J29" s="2"/>
      <c r="K29" s="2"/>
      <c r="L29" s="40"/>
      <c r="M29" s="42"/>
      <c r="N29" s="2"/>
      <c r="O29" s="2"/>
      <c r="P29" s="2"/>
      <c r="Q29" s="2"/>
      <c r="R29" s="2"/>
      <c r="S29" s="2"/>
      <c r="T29" s="42"/>
      <c r="U29" s="2"/>
      <c r="V29" s="2"/>
      <c r="W29" s="2"/>
      <c r="X29" s="2"/>
      <c r="Y29" s="2"/>
      <c r="Z29" s="2"/>
      <c r="AA29" s="42"/>
      <c r="AB29" s="2"/>
      <c r="AC29" s="2"/>
      <c r="AD29" s="2"/>
      <c r="AF29" s="2"/>
      <c r="AG29" s="2"/>
      <c r="AH29" s="46" t="b">
        <v>0</v>
      </c>
      <c r="AI29" s="12"/>
      <c r="AJ29" s="27">
        <f t="shared" si="1"/>
        <v>1</v>
      </c>
      <c r="AK29" s="3"/>
    </row>
    <row r="30" spans="2:37" ht="18.75" customHeight="1" x14ac:dyDescent="0.25">
      <c r="B30" s="4">
        <f t="shared" si="0"/>
        <v>22</v>
      </c>
      <c r="C30" s="2" t="s">
        <v>27</v>
      </c>
      <c r="D30" s="11" t="s">
        <v>92</v>
      </c>
      <c r="E30" s="59" t="s">
        <v>93</v>
      </c>
      <c r="F30" s="41"/>
      <c r="G30" s="40"/>
      <c r="H30" s="40"/>
      <c r="I30" s="2"/>
      <c r="J30" s="2"/>
      <c r="K30" s="2"/>
      <c r="L30" s="40"/>
      <c r="M30" s="42"/>
      <c r="N30" s="2"/>
      <c r="O30" s="2"/>
      <c r="P30" s="2"/>
      <c r="Q30" s="2"/>
      <c r="R30" s="2"/>
      <c r="S30" s="2"/>
      <c r="T30" s="42"/>
      <c r="U30" s="2"/>
      <c r="V30" s="2"/>
      <c r="W30" s="2"/>
      <c r="X30" s="2"/>
      <c r="Y30" s="2"/>
      <c r="Z30" s="2"/>
      <c r="AA30" s="42"/>
      <c r="AB30" s="2"/>
      <c r="AC30" s="2"/>
      <c r="AD30" s="2"/>
      <c r="AF30" s="2"/>
      <c r="AG30" s="2"/>
      <c r="AH30" s="46" t="b">
        <v>0</v>
      </c>
      <c r="AI30" s="12"/>
      <c r="AJ30" s="27">
        <f t="shared" si="1"/>
        <v>1</v>
      </c>
      <c r="AK30" s="3"/>
    </row>
    <row r="31" spans="2:37" ht="18.75" customHeight="1" x14ac:dyDescent="0.25">
      <c r="B31" s="4">
        <f>ROW()-8</f>
        <v>23</v>
      </c>
      <c r="C31" s="2" t="s">
        <v>27</v>
      </c>
      <c r="D31" s="11" t="s">
        <v>91</v>
      </c>
      <c r="E31" s="59"/>
      <c r="F31" s="41"/>
      <c r="G31" s="40"/>
      <c r="H31" s="40"/>
      <c r="I31" s="2"/>
      <c r="J31" s="2"/>
      <c r="K31" s="2"/>
      <c r="L31" s="40"/>
      <c r="M31" s="42"/>
      <c r="N31" s="2"/>
      <c r="O31" s="2"/>
      <c r="P31" s="2"/>
      <c r="Q31" s="2"/>
      <c r="R31" s="2"/>
      <c r="S31" s="2"/>
      <c r="T31" s="42"/>
      <c r="U31" s="2"/>
      <c r="V31" s="2"/>
      <c r="W31" s="2"/>
      <c r="X31" s="2"/>
      <c r="Y31" s="2"/>
      <c r="Z31" s="2"/>
      <c r="AA31" s="42"/>
      <c r="AB31" s="2"/>
      <c r="AC31" s="2"/>
      <c r="AD31" s="2"/>
      <c r="AF31" s="2"/>
      <c r="AG31" s="2"/>
      <c r="AH31" s="46" t="b">
        <v>0</v>
      </c>
      <c r="AI31" s="12"/>
      <c r="AJ31" s="27">
        <f t="shared" si="1"/>
        <v>1</v>
      </c>
      <c r="AK31" s="3"/>
    </row>
    <row r="32" spans="2:37" ht="18.75" customHeight="1" x14ac:dyDescent="0.25">
      <c r="B32" s="4">
        <f t="shared" si="0"/>
        <v>24</v>
      </c>
      <c r="C32" s="2" t="s">
        <v>27</v>
      </c>
      <c r="D32" s="11" t="s">
        <v>71</v>
      </c>
      <c r="E32" s="59" t="s">
        <v>70</v>
      </c>
      <c r="F32" s="41"/>
      <c r="G32" s="40"/>
      <c r="H32" s="40"/>
      <c r="I32" s="2"/>
      <c r="J32" s="40"/>
      <c r="L32" s="40"/>
      <c r="M32" s="42"/>
      <c r="N32" s="2"/>
      <c r="O32" s="2"/>
      <c r="P32" s="2"/>
      <c r="Q32" s="2"/>
      <c r="R32" s="2"/>
      <c r="S32" s="2"/>
      <c r="T32" s="42"/>
      <c r="U32" s="2"/>
      <c r="V32" s="2"/>
      <c r="W32" s="2"/>
      <c r="X32" s="2"/>
      <c r="Y32" s="2"/>
      <c r="Z32" s="2"/>
      <c r="AA32" s="42"/>
      <c r="AB32" s="2"/>
      <c r="AC32" s="2"/>
      <c r="AD32" s="2"/>
      <c r="AF32" s="2"/>
      <c r="AG32" s="2"/>
      <c r="AH32" s="42"/>
      <c r="AI32" s="38" t="b">
        <v>0</v>
      </c>
      <c r="AJ32" s="27">
        <f t="shared" si="1"/>
        <v>1</v>
      </c>
      <c r="AK32" s="3"/>
    </row>
    <row r="33" spans="2:37" ht="18.75" customHeight="1" x14ac:dyDescent="0.25">
      <c r="B33" s="4">
        <f t="shared" si="0"/>
        <v>25</v>
      </c>
      <c r="C33" s="2" t="s">
        <v>27</v>
      </c>
      <c r="D33" s="12" t="s">
        <v>63</v>
      </c>
      <c r="E33" s="39"/>
      <c r="F33" s="41"/>
      <c r="G33" s="40"/>
      <c r="H33" s="40"/>
      <c r="I33" s="2"/>
      <c r="J33" s="40"/>
      <c r="L33" s="40"/>
      <c r="M33" s="42"/>
      <c r="N33" s="2"/>
      <c r="O33" s="2"/>
      <c r="P33" s="2"/>
      <c r="Q33" s="2"/>
      <c r="R33" s="2"/>
      <c r="S33" s="2"/>
      <c r="T33" s="42"/>
      <c r="U33" s="2"/>
      <c r="V33" s="2"/>
      <c r="W33" s="2"/>
      <c r="X33" s="2"/>
      <c r="Y33" s="2"/>
      <c r="Z33" s="2"/>
      <c r="AA33" s="42"/>
      <c r="AB33" s="2"/>
      <c r="AC33" s="2"/>
      <c r="AD33" s="2"/>
      <c r="AF33" s="2"/>
      <c r="AG33" s="2"/>
      <c r="AH33" s="42"/>
      <c r="AI33" s="38" t="b">
        <v>0</v>
      </c>
      <c r="AJ33" s="27">
        <f t="shared" si="1"/>
        <v>1</v>
      </c>
      <c r="AK33" s="3"/>
    </row>
    <row r="34" spans="2:37" ht="18.75" customHeight="1" x14ac:dyDescent="0.25">
      <c r="B34" s="4">
        <f t="shared" si="0"/>
        <v>26</v>
      </c>
      <c r="C34" s="2" t="s">
        <v>27</v>
      </c>
      <c r="D34" s="12" t="s">
        <v>94</v>
      </c>
      <c r="E34" s="11" t="s">
        <v>64</v>
      </c>
      <c r="F34" s="41"/>
      <c r="G34" s="40"/>
      <c r="H34" s="40"/>
      <c r="I34" s="2"/>
      <c r="J34" s="2"/>
      <c r="K34" s="40"/>
      <c r="L34" s="40"/>
      <c r="M34" s="42"/>
      <c r="N34" s="2"/>
      <c r="O34" s="2"/>
      <c r="P34" s="2"/>
      <c r="Q34" s="2"/>
      <c r="R34" s="2"/>
      <c r="S34" s="2"/>
      <c r="T34" s="42"/>
      <c r="U34" s="2"/>
      <c r="V34" s="2"/>
      <c r="W34" s="2"/>
      <c r="X34" s="2"/>
      <c r="Y34" s="2"/>
      <c r="Z34" s="2"/>
      <c r="AA34" s="42"/>
      <c r="AB34" s="2"/>
      <c r="AC34" s="2"/>
      <c r="AD34" s="2"/>
      <c r="AF34" s="2"/>
      <c r="AG34" s="2"/>
      <c r="AH34" s="46" t="b">
        <v>0</v>
      </c>
      <c r="AI34" s="12"/>
      <c r="AJ34" s="27">
        <f t="shared" si="1"/>
        <v>1</v>
      </c>
      <c r="AK34" s="3"/>
    </row>
    <row r="35" spans="2:37" ht="18.75" customHeight="1" x14ac:dyDescent="0.25">
      <c r="B35" s="4">
        <f>ROW()-8</f>
        <v>27</v>
      </c>
      <c r="C35" s="2" t="s">
        <v>27</v>
      </c>
      <c r="D35" s="11" t="s">
        <v>65</v>
      </c>
      <c r="E35" s="39"/>
      <c r="F35" s="41"/>
      <c r="G35" s="40"/>
      <c r="H35" s="40"/>
      <c r="I35" s="2"/>
      <c r="J35" s="2"/>
      <c r="K35" s="40"/>
      <c r="L35" s="40"/>
      <c r="M35" s="42"/>
      <c r="N35" s="2"/>
      <c r="O35" s="2"/>
      <c r="P35" s="2"/>
      <c r="Q35" s="2"/>
      <c r="R35" s="2"/>
      <c r="S35" s="2"/>
      <c r="T35" s="42"/>
      <c r="U35" s="2"/>
      <c r="V35" s="2"/>
      <c r="W35" s="2"/>
      <c r="X35" s="2"/>
      <c r="Y35" s="2"/>
      <c r="Z35" s="2"/>
      <c r="AA35" s="42"/>
      <c r="AB35" s="2"/>
      <c r="AC35" s="2"/>
      <c r="AD35" s="2"/>
      <c r="AF35" s="2"/>
      <c r="AG35" s="2"/>
      <c r="AH35" s="46" t="b">
        <v>0</v>
      </c>
      <c r="AI35" s="12"/>
      <c r="AJ35" s="27">
        <f t="shared" si="1"/>
        <v>1</v>
      </c>
      <c r="AK35" s="3"/>
    </row>
    <row r="36" spans="2:37" ht="18.75" customHeight="1" x14ac:dyDescent="0.25">
      <c r="B36" s="4">
        <f t="shared" si="0"/>
        <v>28</v>
      </c>
      <c r="C36" s="4" t="s">
        <v>27</v>
      </c>
      <c r="D36" s="13" t="s">
        <v>16</v>
      </c>
      <c r="E36" s="29"/>
      <c r="F36" s="43"/>
      <c r="G36" s="10"/>
      <c r="H36" s="10"/>
      <c r="I36" s="10"/>
      <c r="J36" s="10"/>
      <c r="K36" s="10"/>
      <c r="L36" s="10"/>
      <c r="M36" s="29"/>
      <c r="N36" s="9"/>
      <c r="O36" s="9"/>
      <c r="P36" s="9"/>
      <c r="Q36" s="9"/>
      <c r="R36" s="9"/>
      <c r="S36" s="9"/>
      <c r="T36" s="29"/>
      <c r="U36" s="9"/>
      <c r="V36" s="9"/>
      <c r="W36" s="9"/>
      <c r="X36" s="9"/>
      <c r="Y36" s="9"/>
      <c r="Z36" s="9"/>
      <c r="AA36" s="29"/>
      <c r="AB36" s="9"/>
      <c r="AC36" s="9"/>
      <c r="AD36" s="9"/>
      <c r="AE36" s="8"/>
      <c r="AF36" s="9"/>
      <c r="AG36" s="9"/>
      <c r="AH36" s="46" t="b">
        <v>0</v>
      </c>
      <c r="AI36" s="13"/>
      <c r="AJ36" s="27">
        <f t="shared" si="1"/>
        <v>1</v>
      </c>
      <c r="AK36" s="3"/>
    </row>
    <row r="37" spans="2:37" ht="18.75" customHeight="1" x14ac:dyDescent="0.25">
      <c r="B37" s="4">
        <f t="shared" si="0"/>
        <v>29</v>
      </c>
      <c r="C37" s="2" t="s">
        <v>90</v>
      </c>
      <c r="D37" s="52" t="s">
        <v>69</v>
      </c>
      <c r="E37" s="53" t="s">
        <v>96</v>
      </c>
      <c r="F37" s="54"/>
      <c r="G37" s="55"/>
      <c r="H37" s="55"/>
      <c r="I37" s="56"/>
      <c r="J37" s="56"/>
      <c r="K37" s="56"/>
      <c r="L37" s="55"/>
      <c r="M37" s="63"/>
      <c r="N37" s="56"/>
      <c r="O37" s="56"/>
      <c r="P37" s="56"/>
      <c r="Q37" s="56"/>
      <c r="R37" s="56"/>
      <c r="S37" s="56"/>
      <c r="T37" s="63"/>
      <c r="U37" s="56"/>
      <c r="V37" s="56"/>
      <c r="W37" s="56"/>
      <c r="X37" s="56"/>
      <c r="Y37" s="56"/>
      <c r="Z37" s="56"/>
      <c r="AA37" s="63"/>
      <c r="AB37" s="56"/>
      <c r="AC37" s="56"/>
      <c r="AD37" s="56"/>
      <c r="AE37" s="57"/>
      <c r="AF37" s="56"/>
      <c r="AG37" s="56"/>
      <c r="AH37" s="63"/>
      <c r="AI37" s="58"/>
      <c r="AJ37" s="27">
        <f t="shared" si="1"/>
        <v>0</v>
      </c>
      <c r="AK37" s="3"/>
    </row>
    <row r="38" spans="2:37" ht="18" customHeight="1" x14ac:dyDescent="0.25">
      <c r="B38" s="7"/>
      <c r="C38" s="7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D38" s="4"/>
      <c r="AE38" s="4"/>
      <c r="AF38" s="4"/>
      <c r="AG38" s="4"/>
      <c r="AH38" s="4"/>
      <c r="AI38" s="4"/>
      <c r="AK38" s="3"/>
    </row>
    <row r="39" spans="2:37" ht="18" customHeight="1" x14ac:dyDescent="0.25">
      <c r="E39" s="60"/>
      <c r="AK39" s="3"/>
    </row>
    <row r="40" spans="2:37" ht="18.75" customHeight="1" x14ac:dyDescent="0.25">
      <c r="AK40" s="3"/>
    </row>
    <row r="41" spans="2:37" ht="18.75" customHeight="1" x14ac:dyDescent="0.25">
      <c r="E41" s="61"/>
      <c r="AK41" s="3"/>
    </row>
    <row r="42" spans="2:37" ht="18.75" customHeight="1" x14ac:dyDescent="0.25">
      <c r="AK42" s="3"/>
    </row>
    <row r="43" spans="2:37" ht="18.75" customHeight="1" x14ac:dyDescent="0.25">
      <c r="D43" s="6"/>
      <c r="E43" s="6"/>
      <c r="AK43" s="3"/>
    </row>
    <row r="44" spans="2:37" ht="18.75" customHeight="1" x14ac:dyDescent="0.25">
      <c r="D44" s="6"/>
      <c r="E44" s="6"/>
      <c r="AK44" s="3"/>
    </row>
    <row r="45" spans="2:37" ht="18.75" customHeight="1" x14ac:dyDescent="0.25">
      <c r="AK45" s="3"/>
    </row>
    <row r="46" spans="2:37" ht="18.75" customHeight="1" x14ac:dyDescent="0.25">
      <c r="AK46" s="3"/>
    </row>
    <row r="47" spans="2:37" ht="18.75" customHeight="1" x14ac:dyDescent="0.25">
      <c r="AK47" s="3"/>
    </row>
    <row r="48" spans="2:37" ht="18.75" customHeight="1" x14ac:dyDescent="0.25">
      <c r="D48" s="6"/>
      <c r="E48" s="6"/>
      <c r="AK48" s="3"/>
    </row>
    <row r="49" spans="37:37" ht="18.75" customHeight="1" x14ac:dyDescent="0.25">
      <c r="AK49" s="3"/>
    </row>
    <row r="50" spans="37:37" ht="18.75" customHeight="1" x14ac:dyDescent="0.25">
      <c r="AK50" s="3"/>
    </row>
    <row r="51" spans="37:37" ht="18.75" customHeight="1" x14ac:dyDescent="0.25">
      <c r="AK51" s="3"/>
    </row>
    <row r="52" spans="37:37" ht="18.75" customHeight="1" x14ac:dyDescent="0.25">
      <c r="AK52" s="3"/>
    </row>
    <row r="53" spans="37:37" ht="18.75" customHeight="1" x14ac:dyDescent="0.25">
      <c r="AK53" s="3"/>
    </row>
    <row r="54" spans="37:37" ht="18.75" customHeight="1" x14ac:dyDescent="0.25">
      <c r="AK54" s="3"/>
    </row>
    <row r="55" spans="37:37" ht="18.75" customHeight="1" x14ac:dyDescent="0.25">
      <c r="AK55" s="3"/>
    </row>
    <row r="56" spans="37:37" ht="16.5" x14ac:dyDescent="0.25"/>
    <row r="58" spans="37:37" ht="16.5" x14ac:dyDescent="0.25"/>
  </sheetData>
  <mergeCells count="5">
    <mergeCell ref="F5:L5"/>
    <mergeCell ref="M5:S5"/>
    <mergeCell ref="T5:Z5"/>
    <mergeCell ref="AA5:AG5"/>
    <mergeCell ref="AH5:AI5"/>
  </mergeCells>
  <phoneticPr fontId="20" type="noConversion"/>
  <conditionalFormatting sqref="F38:AB38 AD38:AI38">
    <cfRule type="expression" dxfId="18" priority="14">
      <formula>"✔️"</formula>
    </cfRule>
  </conditionalFormatting>
  <conditionalFormatting sqref="K32:Q32 I32:I33 M32:N33 P32:R33 T32:U33 W32:Y33 AA32:AB33 AD32:AF33 I34:J34 L34 N34:S35 U34:Z35 AB34:AF35 I35:L35 AF36:AG37 F36:AD37 Z37:AE37 AH37:AI37 I29:Q31 S29:X32 Z29:AE32 AH29:AI33 AI34:AI37 F9:AI9 F10:I28 K10:P28 R10:W28 Y10:AD28 AF10:AI28">
    <cfRule type="cellIs" dxfId="17" priority="13" operator="equal">
      <formula>TRUE</formula>
    </cfRule>
  </conditionalFormatting>
  <conditionalFormatting sqref="AJ6:AK6">
    <cfRule type="expression" dxfId="16" priority="12">
      <formula>COUNTIF(F6:AI6, "VERDADERO")=AJ6</formula>
    </cfRule>
  </conditionalFormatting>
  <conditionalFormatting sqref="AK11:AK55">
    <cfRule type="expression" dxfId="15" priority="55">
      <formula>COUNTIF(AJ11:AJ11, "VERDADERO")=AK11</formula>
    </cfRule>
  </conditionalFormatting>
  <conditionalFormatting sqref="AJ9:AJ37">
    <cfRule type="expression" dxfId="14" priority="164">
      <formula>COUNTIF(F11:AI11, "VERDADERO")=AJ9</formula>
    </cfRule>
  </conditionalFormatting>
  <conditionalFormatting sqref="AG6:AI6 F6:J6 L6:Q6 S6:X6 Z6:AE6">
    <cfRule type="expression" dxfId="13" priority="209">
      <formula>COUNTIF(F11:F36, "VERDADERO")=F6</formula>
    </cfRule>
  </conditionalFormatting>
  <conditionalFormatting sqref="D28:E28">
    <cfRule type="cellIs" dxfId="12" priority="2" operator="equal">
      <formula>TRUE</formula>
    </cfRule>
  </conditionalFormatting>
  <conditionalFormatting sqref="K6 R6 Y6 AF6">
    <cfRule type="expression" dxfId="11" priority="214">
      <formula>COUNTIF(K12:K36, "VERDADERO")=K6</formula>
    </cfRule>
  </conditionalFormatting>
  <conditionalFormatting sqref="AH34:AH36">
    <cfRule type="cellIs" dxfId="10" priority="1" operator="equal">
      <formula>TRUE</formula>
    </cfRule>
  </conditionalFormatting>
  <pageMargins left="0.7" right="0.7" top="0.75" bottom="0.75" header="0.3" footer="0.3"/>
  <pageSetup paperSize="9" scale="50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77226-E34D-4F36-83F7-6FAE529E1D1B}">
  <dimension ref="B2:E34"/>
  <sheetViews>
    <sheetView showGridLines="0" workbookViewId="0"/>
  </sheetViews>
  <sheetFormatPr baseColWidth="10" defaultColWidth="11.42578125" defaultRowHeight="18.75" customHeight="1" x14ac:dyDescent="0.25"/>
  <cols>
    <col min="1" max="1" width="11.42578125" style="19"/>
    <col min="2" max="2" width="10" style="19" customWidth="1"/>
    <col min="3" max="3" width="68.140625" style="21" customWidth="1"/>
    <col min="4" max="4" width="16.5703125" style="19" bestFit="1" customWidth="1"/>
    <col min="5" max="16384" width="11.42578125" style="19"/>
  </cols>
  <sheetData>
    <row r="2" spans="2:5" ht="30.75" x14ac:dyDescent="0.25">
      <c r="B2" s="18" t="s">
        <v>14</v>
      </c>
    </row>
    <row r="5" spans="2:5" ht="18.75" customHeight="1" x14ac:dyDescent="0.25">
      <c r="B5" s="19" t="s">
        <v>13</v>
      </c>
      <c r="C5" s="19" t="s">
        <v>10</v>
      </c>
      <c r="D5" s="21" t="s">
        <v>7</v>
      </c>
      <c r="E5" s="19" t="s">
        <v>99</v>
      </c>
    </row>
    <row r="6" spans="2:5" ht="18.75" customHeight="1" x14ac:dyDescent="0.25">
      <c r="B6" s="19">
        <f t="shared" ref="B6:B33" si="0">ROW()-5</f>
        <v>1</v>
      </c>
      <c r="C6" s="19" t="s">
        <v>72</v>
      </c>
      <c r="D6" s="21">
        <v>90</v>
      </c>
    </row>
    <row r="7" spans="2:5" ht="18.75" customHeight="1" x14ac:dyDescent="0.25">
      <c r="B7" s="19">
        <f t="shared" si="0"/>
        <v>2</v>
      </c>
      <c r="C7" s="19" t="s">
        <v>74</v>
      </c>
      <c r="D7" s="21">
        <v>20</v>
      </c>
    </row>
    <row r="8" spans="2:5" ht="18.75" customHeight="1" x14ac:dyDescent="0.25">
      <c r="B8" s="19">
        <f>ROW()-5</f>
        <v>3</v>
      </c>
      <c r="C8" s="19" t="s">
        <v>59</v>
      </c>
      <c r="D8" s="21">
        <v>20</v>
      </c>
    </row>
    <row r="9" spans="2:5" ht="18.75" customHeight="1" x14ac:dyDescent="0.25">
      <c r="B9" s="19">
        <f t="shared" si="0"/>
        <v>4</v>
      </c>
      <c r="C9" s="19" t="s">
        <v>60</v>
      </c>
      <c r="D9" s="21">
        <v>6</v>
      </c>
    </row>
    <row r="10" spans="2:5" ht="18.75" customHeight="1" x14ac:dyDescent="0.25">
      <c r="B10" s="19">
        <f t="shared" si="0"/>
        <v>5</v>
      </c>
      <c r="C10" s="19" t="s">
        <v>61</v>
      </c>
      <c r="D10" s="21">
        <v>2</v>
      </c>
    </row>
    <row r="11" spans="2:5" ht="18.75" customHeight="1" x14ac:dyDescent="0.25">
      <c r="B11" s="19">
        <f t="shared" si="0"/>
        <v>6</v>
      </c>
      <c r="C11" s="19" t="s">
        <v>75</v>
      </c>
      <c r="D11" s="21">
        <v>30</v>
      </c>
    </row>
    <row r="12" spans="2:5" ht="18.75" customHeight="1" x14ac:dyDescent="0.25">
      <c r="B12" s="19">
        <f t="shared" si="0"/>
        <v>7</v>
      </c>
      <c r="C12" s="19" t="s">
        <v>76</v>
      </c>
      <c r="D12" s="21">
        <v>30</v>
      </c>
    </row>
    <row r="13" spans="2:5" ht="18.75" customHeight="1" x14ac:dyDescent="0.25">
      <c r="B13" s="19">
        <f t="shared" si="0"/>
        <v>8</v>
      </c>
      <c r="C13" s="19" t="s">
        <v>62</v>
      </c>
      <c r="D13" s="21">
        <v>2</v>
      </c>
    </row>
    <row r="14" spans="2:5" ht="18.75" customHeight="1" x14ac:dyDescent="0.25">
      <c r="B14" s="19">
        <f t="shared" si="0"/>
        <v>9</v>
      </c>
      <c r="C14" s="19" t="s">
        <v>66</v>
      </c>
      <c r="D14" s="21">
        <v>30</v>
      </c>
    </row>
    <row r="15" spans="2:5" ht="18.75" customHeight="1" x14ac:dyDescent="0.25">
      <c r="B15" s="19">
        <f t="shared" si="0"/>
        <v>10</v>
      </c>
      <c r="C15" s="19" t="s">
        <v>67</v>
      </c>
      <c r="D15" s="21">
        <v>30</v>
      </c>
    </row>
    <row r="16" spans="2:5" ht="18.75" customHeight="1" x14ac:dyDescent="0.25">
      <c r="B16" s="19">
        <f t="shared" si="0"/>
        <v>11</v>
      </c>
      <c r="C16" s="19" t="s">
        <v>68</v>
      </c>
      <c r="D16" s="21">
        <v>30</v>
      </c>
    </row>
    <row r="17" spans="2:4" ht="18.75" customHeight="1" x14ac:dyDescent="0.25">
      <c r="B17" s="19">
        <f t="shared" si="0"/>
        <v>12</v>
      </c>
      <c r="C17" s="19" t="s">
        <v>77</v>
      </c>
      <c r="D17" s="21">
        <v>30</v>
      </c>
    </row>
    <row r="18" spans="2:4" ht="18.75" customHeight="1" x14ac:dyDescent="0.25">
      <c r="B18" s="19">
        <f t="shared" si="0"/>
        <v>13</v>
      </c>
      <c r="C18" s="19" t="s">
        <v>78</v>
      </c>
      <c r="D18" s="21">
        <v>20</v>
      </c>
    </row>
    <row r="19" spans="2:4" ht="18.75" customHeight="1" x14ac:dyDescent="0.25">
      <c r="B19" s="19">
        <f t="shared" si="0"/>
        <v>14</v>
      </c>
      <c r="C19" s="19" t="s">
        <v>82</v>
      </c>
      <c r="D19" s="21">
        <v>20</v>
      </c>
    </row>
    <row r="20" spans="2:4" ht="18.75" customHeight="1" x14ac:dyDescent="0.25">
      <c r="B20" s="19">
        <f t="shared" si="0"/>
        <v>15</v>
      </c>
      <c r="C20" s="19" t="s">
        <v>80</v>
      </c>
      <c r="D20" s="21">
        <v>20</v>
      </c>
    </row>
    <row r="21" spans="2:4" ht="18.75" customHeight="1" x14ac:dyDescent="0.25">
      <c r="B21" s="62">
        <f t="shared" ref="B21:B22" si="1">ROW()-5</f>
        <v>16</v>
      </c>
      <c r="C21" s="19" t="s">
        <v>97</v>
      </c>
      <c r="D21" s="21">
        <v>8</v>
      </c>
    </row>
    <row r="22" spans="2:4" ht="18.75" customHeight="1" x14ac:dyDescent="0.25">
      <c r="B22" s="62">
        <f t="shared" si="1"/>
        <v>17</v>
      </c>
      <c r="C22" s="19" t="s">
        <v>98</v>
      </c>
      <c r="D22" s="21">
        <v>20</v>
      </c>
    </row>
    <row r="23" spans="2:4" ht="18.75" customHeight="1" x14ac:dyDescent="0.25">
      <c r="B23" s="19">
        <f t="shared" si="0"/>
        <v>18</v>
      </c>
      <c r="C23" s="19" t="s">
        <v>84</v>
      </c>
      <c r="D23" s="21">
        <v>12</v>
      </c>
    </row>
    <row r="24" spans="2:4" ht="18.75" customHeight="1" x14ac:dyDescent="0.25">
      <c r="B24" s="19">
        <f t="shared" si="0"/>
        <v>19</v>
      </c>
      <c r="C24" s="19" t="s">
        <v>87</v>
      </c>
      <c r="D24" s="21">
        <v>2</v>
      </c>
    </row>
    <row r="25" spans="2:4" ht="18.75" customHeight="1" x14ac:dyDescent="0.25">
      <c r="B25" s="19">
        <f t="shared" si="0"/>
        <v>20</v>
      </c>
      <c r="C25" s="19" t="s">
        <v>86</v>
      </c>
      <c r="D25" s="21">
        <v>8</v>
      </c>
    </row>
    <row r="26" spans="2:4" ht="18.75" customHeight="1" x14ac:dyDescent="0.25">
      <c r="B26" s="19">
        <f t="shared" si="0"/>
        <v>21</v>
      </c>
      <c r="C26" s="19" t="s">
        <v>88</v>
      </c>
      <c r="D26" s="21">
        <v>6</v>
      </c>
    </row>
    <row r="27" spans="2:4" ht="18.75" customHeight="1" x14ac:dyDescent="0.25">
      <c r="B27" s="19">
        <f t="shared" si="0"/>
        <v>22</v>
      </c>
      <c r="C27" s="19" t="s">
        <v>92</v>
      </c>
      <c r="D27" s="21">
        <v>2</v>
      </c>
    </row>
    <row r="28" spans="2:4" ht="18.75" customHeight="1" x14ac:dyDescent="0.25">
      <c r="B28" s="19">
        <f t="shared" si="0"/>
        <v>23</v>
      </c>
      <c r="C28" s="19" t="s">
        <v>91</v>
      </c>
      <c r="D28" s="21">
        <v>8</v>
      </c>
    </row>
    <row r="29" spans="2:4" ht="18.75" customHeight="1" x14ac:dyDescent="0.25">
      <c r="B29" s="19">
        <f t="shared" si="0"/>
        <v>24</v>
      </c>
      <c r="C29" s="19" t="s">
        <v>71</v>
      </c>
      <c r="D29" s="21">
        <v>40</v>
      </c>
    </row>
    <row r="30" spans="2:4" ht="18.75" customHeight="1" x14ac:dyDescent="0.25">
      <c r="B30" s="19">
        <f t="shared" si="0"/>
        <v>25</v>
      </c>
      <c r="C30" s="19" t="s">
        <v>63</v>
      </c>
      <c r="D30" s="21">
        <v>10</v>
      </c>
    </row>
    <row r="31" spans="2:4" ht="18.75" customHeight="1" x14ac:dyDescent="0.25">
      <c r="B31" s="19">
        <f>ROW()-5</f>
        <v>26</v>
      </c>
      <c r="C31" s="19" t="s">
        <v>94</v>
      </c>
      <c r="D31" s="21">
        <v>8</v>
      </c>
    </row>
    <row r="32" spans="2:4" ht="18.75" customHeight="1" x14ac:dyDescent="0.25">
      <c r="B32" s="19">
        <f t="shared" si="0"/>
        <v>27</v>
      </c>
      <c r="C32" s="19" t="s">
        <v>65</v>
      </c>
      <c r="D32" s="21">
        <v>8</v>
      </c>
    </row>
    <row r="33" spans="2:4" ht="18.75" customHeight="1" x14ac:dyDescent="0.25">
      <c r="B33" s="19">
        <f t="shared" si="0"/>
        <v>28</v>
      </c>
      <c r="C33" s="19" t="s">
        <v>16</v>
      </c>
      <c r="D33" s="21">
        <v>10</v>
      </c>
    </row>
    <row r="34" spans="2:4" ht="18.75" customHeight="1" x14ac:dyDescent="0.25">
      <c r="B34" s="19">
        <f>ROW()-5</f>
        <v>29</v>
      </c>
      <c r="C34" s="19" t="s">
        <v>69</v>
      </c>
      <c r="D34" s="21">
        <v>4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5C902-084D-49BD-A58F-E3FCF20A7899}">
  <dimension ref="B2:N95"/>
  <sheetViews>
    <sheetView showGridLines="0" workbookViewId="0"/>
  </sheetViews>
  <sheetFormatPr baseColWidth="10" defaultColWidth="11.42578125" defaultRowHeight="18.75" customHeight="1" x14ac:dyDescent="0.25"/>
  <cols>
    <col min="1" max="1" width="11.42578125" style="19"/>
    <col min="2" max="2" width="22" style="19" customWidth="1"/>
    <col min="3" max="3" width="61.42578125" style="19" bestFit="1" customWidth="1"/>
    <col min="4" max="4" width="75.85546875" style="19" bestFit="1" customWidth="1"/>
    <col min="5" max="5" width="14.85546875" style="20" bestFit="1" customWidth="1"/>
    <col min="6" max="6" width="10.42578125" style="19" bestFit="1" customWidth="1"/>
    <col min="7" max="7" width="9.140625" style="19" bestFit="1" customWidth="1"/>
    <col min="8" max="8" width="16.5703125" style="19" bestFit="1" customWidth="1"/>
    <col min="9" max="9" width="11.5703125" style="19" bestFit="1" customWidth="1"/>
    <col min="10" max="10" width="16.140625" style="19" bestFit="1" customWidth="1"/>
    <col min="11" max="11" width="11.85546875" style="19" bestFit="1" customWidth="1"/>
    <col min="12" max="12" width="17.42578125" style="19" customWidth="1"/>
    <col min="13" max="13" width="15.42578125" style="19" customWidth="1"/>
    <col min="14" max="14" width="21.140625" style="21" bestFit="1" customWidth="1"/>
    <col min="15" max="15" width="16.140625" style="19" bestFit="1" customWidth="1"/>
    <col min="16" max="16" width="16.140625" style="19" customWidth="1"/>
    <col min="17" max="17" width="14.5703125" style="19" bestFit="1" customWidth="1"/>
    <col min="18" max="18" width="21" style="19" customWidth="1"/>
    <col min="19" max="16384" width="11.42578125" style="19"/>
  </cols>
  <sheetData>
    <row r="2" spans="2:14" ht="30.75" x14ac:dyDescent="0.25">
      <c r="B2" s="18" t="s">
        <v>25</v>
      </c>
    </row>
    <row r="5" spans="2:14" ht="18.75" customHeight="1" x14ac:dyDescent="0.25">
      <c r="B5" s="19" t="s">
        <v>11</v>
      </c>
      <c r="C5" s="32" t="s">
        <v>15</v>
      </c>
      <c r="D5" s="32" t="s">
        <v>17</v>
      </c>
      <c r="E5" s="32" t="s">
        <v>18</v>
      </c>
      <c r="F5" s="32" t="s">
        <v>19</v>
      </c>
      <c r="G5" s="19" t="s">
        <v>9</v>
      </c>
      <c r="H5" s="21" t="s">
        <v>7</v>
      </c>
      <c r="I5" s="19" t="s">
        <v>8</v>
      </c>
      <c r="J5" s="32" t="s">
        <v>24</v>
      </c>
      <c r="K5" s="32" t="s">
        <v>20</v>
      </c>
      <c r="N5" s="19"/>
    </row>
    <row r="6" spans="2:14" ht="18.75" customHeight="1" x14ac:dyDescent="0.25">
      <c r="B6" s="62" t="s">
        <v>26</v>
      </c>
      <c r="C6" s="64" t="s">
        <v>105</v>
      </c>
      <c r="D6" s="64" t="s">
        <v>73</v>
      </c>
      <c r="E6" s="64" t="s">
        <v>21</v>
      </c>
      <c r="F6" s="64" t="s">
        <v>23</v>
      </c>
      <c r="G6" s="62" t="s">
        <v>22</v>
      </c>
      <c r="H6" s="62">
        <v>90</v>
      </c>
      <c r="I6" s="62"/>
      <c r="J6" s="33">
        <v>46178</v>
      </c>
      <c r="K6" s="33">
        <v>46178</v>
      </c>
    </row>
    <row r="7" spans="2:14" ht="18.75" customHeight="1" x14ac:dyDescent="0.25">
      <c r="B7" s="62" t="s">
        <v>26</v>
      </c>
      <c r="C7" s="64" t="s">
        <v>106</v>
      </c>
      <c r="D7" s="64" t="s">
        <v>73</v>
      </c>
      <c r="E7" s="64" t="s">
        <v>21</v>
      </c>
      <c r="F7" s="64" t="s">
        <v>23</v>
      </c>
      <c r="G7" s="62" t="s">
        <v>22</v>
      </c>
      <c r="H7" s="62">
        <v>90</v>
      </c>
      <c r="I7" s="62"/>
      <c r="J7" s="33">
        <v>46185</v>
      </c>
      <c r="K7" s="33">
        <v>46185</v>
      </c>
    </row>
    <row r="8" spans="2:14" ht="18.75" customHeight="1" x14ac:dyDescent="0.25">
      <c r="B8" s="62" t="s">
        <v>26</v>
      </c>
      <c r="C8" s="64" t="s">
        <v>107</v>
      </c>
      <c r="D8" s="64" t="s">
        <v>73</v>
      </c>
      <c r="E8" s="64" t="s">
        <v>21</v>
      </c>
      <c r="F8" s="64" t="s">
        <v>23</v>
      </c>
      <c r="G8" s="62" t="s">
        <v>22</v>
      </c>
      <c r="H8" s="62">
        <v>90</v>
      </c>
      <c r="I8" s="62"/>
      <c r="J8" s="33">
        <v>46192</v>
      </c>
      <c r="K8" s="33">
        <v>46192</v>
      </c>
    </row>
    <row r="9" spans="2:14" ht="18.75" customHeight="1" x14ac:dyDescent="0.25">
      <c r="B9" s="62" t="s">
        <v>26</v>
      </c>
      <c r="C9" s="64" t="s">
        <v>108</v>
      </c>
      <c r="D9" s="64" t="s">
        <v>73</v>
      </c>
      <c r="E9" s="64" t="s">
        <v>21</v>
      </c>
      <c r="F9" s="64" t="s">
        <v>23</v>
      </c>
      <c r="G9" s="62" t="s">
        <v>22</v>
      </c>
      <c r="H9" s="62">
        <v>90</v>
      </c>
      <c r="I9" s="62"/>
      <c r="J9" s="33">
        <v>46199</v>
      </c>
      <c r="K9" s="33">
        <v>46199</v>
      </c>
    </row>
    <row r="10" spans="2:14" ht="18.75" customHeight="1" x14ac:dyDescent="0.25">
      <c r="B10" s="62" t="s">
        <v>26</v>
      </c>
      <c r="C10" s="64" t="s">
        <v>109</v>
      </c>
      <c r="D10" s="64" t="s">
        <v>95</v>
      </c>
      <c r="E10" s="64" t="s">
        <v>21</v>
      </c>
      <c r="F10" s="64" t="s">
        <v>23</v>
      </c>
      <c r="G10" s="62" t="s">
        <v>22</v>
      </c>
      <c r="H10" s="62">
        <v>20</v>
      </c>
      <c r="I10" s="62"/>
      <c r="J10" s="33">
        <v>46179</v>
      </c>
      <c r="K10" s="33">
        <v>46179</v>
      </c>
    </row>
    <row r="11" spans="2:14" ht="18.75" customHeight="1" x14ac:dyDescent="0.25">
      <c r="B11" s="62" t="s">
        <v>26</v>
      </c>
      <c r="C11" s="64" t="s">
        <v>110</v>
      </c>
      <c r="D11" s="64" t="s">
        <v>95</v>
      </c>
      <c r="E11" s="64" t="s">
        <v>21</v>
      </c>
      <c r="F11" s="64" t="s">
        <v>23</v>
      </c>
      <c r="G11" s="62" t="s">
        <v>22</v>
      </c>
      <c r="H11" s="62">
        <v>20</v>
      </c>
      <c r="I11" s="62"/>
      <c r="J11" s="33">
        <v>46186</v>
      </c>
      <c r="K11" s="33">
        <v>46186</v>
      </c>
    </row>
    <row r="12" spans="2:14" ht="18.75" customHeight="1" x14ac:dyDescent="0.25">
      <c r="B12" s="62" t="s">
        <v>26</v>
      </c>
      <c r="C12" s="64" t="s">
        <v>111</v>
      </c>
      <c r="D12" s="64" t="s">
        <v>95</v>
      </c>
      <c r="E12" s="64" t="s">
        <v>21</v>
      </c>
      <c r="F12" s="64" t="s">
        <v>23</v>
      </c>
      <c r="G12" s="62" t="s">
        <v>22</v>
      </c>
      <c r="H12" s="62">
        <v>20</v>
      </c>
      <c r="I12" s="62"/>
      <c r="J12" s="33">
        <v>46193</v>
      </c>
      <c r="K12" s="33">
        <v>46193</v>
      </c>
    </row>
    <row r="13" spans="2:14" ht="18.75" customHeight="1" x14ac:dyDescent="0.25">
      <c r="B13" s="62" t="s">
        <v>26</v>
      </c>
      <c r="C13" s="64" t="s">
        <v>112</v>
      </c>
      <c r="D13" s="64" t="s">
        <v>95</v>
      </c>
      <c r="E13" s="64" t="s">
        <v>21</v>
      </c>
      <c r="F13" s="64" t="s">
        <v>23</v>
      </c>
      <c r="G13" s="62" t="s">
        <v>22</v>
      </c>
      <c r="H13" s="62">
        <v>20</v>
      </c>
      <c r="I13" s="62"/>
      <c r="J13" s="33">
        <v>46200</v>
      </c>
      <c r="K13" s="33">
        <v>46200</v>
      </c>
    </row>
    <row r="14" spans="2:14" ht="18.75" customHeight="1" x14ac:dyDescent="0.25">
      <c r="B14" s="62" t="s">
        <v>26</v>
      </c>
      <c r="C14" s="64" t="s">
        <v>113</v>
      </c>
      <c r="D14" s="64"/>
      <c r="E14" s="64" t="s">
        <v>21</v>
      </c>
      <c r="F14" s="64" t="s">
        <v>23</v>
      </c>
      <c r="G14" s="62" t="s">
        <v>22</v>
      </c>
      <c r="H14" s="62">
        <v>20</v>
      </c>
      <c r="I14" s="62"/>
      <c r="J14" s="33">
        <v>46179</v>
      </c>
      <c r="K14" s="33">
        <v>46179</v>
      </c>
    </row>
    <row r="15" spans="2:14" ht="18.75" customHeight="1" x14ac:dyDescent="0.25">
      <c r="B15" s="62" t="s">
        <v>26</v>
      </c>
      <c r="C15" s="64" t="s">
        <v>114</v>
      </c>
      <c r="D15" s="64"/>
      <c r="E15" s="64" t="s">
        <v>21</v>
      </c>
      <c r="F15" s="64" t="s">
        <v>23</v>
      </c>
      <c r="G15" s="62" t="s">
        <v>22</v>
      </c>
      <c r="H15" s="62">
        <v>20</v>
      </c>
      <c r="I15" s="62"/>
      <c r="J15" s="33">
        <v>46186</v>
      </c>
      <c r="K15" s="33">
        <v>46186</v>
      </c>
    </row>
    <row r="16" spans="2:14" ht="18.75" customHeight="1" x14ac:dyDescent="0.25">
      <c r="B16" s="62" t="s">
        <v>26</v>
      </c>
      <c r="C16" s="64" t="s">
        <v>115</v>
      </c>
      <c r="D16" s="64"/>
      <c r="E16" s="64" t="s">
        <v>21</v>
      </c>
      <c r="F16" s="64" t="s">
        <v>23</v>
      </c>
      <c r="G16" s="62" t="s">
        <v>22</v>
      </c>
      <c r="H16" s="62">
        <v>20</v>
      </c>
      <c r="I16" s="62"/>
      <c r="J16" s="33">
        <v>46193</v>
      </c>
      <c r="K16" s="33">
        <v>46193</v>
      </c>
    </row>
    <row r="17" spans="2:11" ht="18.75" customHeight="1" x14ac:dyDescent="0.25">
      <c r="B17" s="62" t="s">
        <v>26</v>
      </c>
      <c r="C17" s="64" t="s">
        <v>116</v>
      </c>
      <c r="D17" s="64"/>
      <c r="E17" s="64" t="s">
        <v>21</v>
      </c>
      <c r="F17" s="64" t="s">
        <v>23</v>
      </c>
      <c r="G17" s="62" t="s">
        <v>22</v>
      </c>
      <c r="H17" s="62">
        <v>20</v>
      </c>
      <c r="I17" s="62"/>
      <c r="J17" s="33">
        <v>46200</v>
      </c>
      <c r="K17" s="33">
        <v>46200</v>
      </c>
    </row>
    <row r="18" spans="2:11" ht="18.75" customHeight="1" x14ac:dyDescent="0.25">
      <c r="B18" s="62" t="s">
        <v>26</v>
      </c>
      <c r="C18" s="64" t="s">
        <v>117</v>
      </c>
      <c r="D18" s="64"/>
      <c r="E18" s="64" t="s">
        <v>21</v>
      </c>
      <c r="F18" s="64" t="s">
        <v>23</v>
      </c>
      <c r="G18" s="62" t="s">
        <v>22</v>
      </c>
      <c r="H18" s="62">
        <v>6</v>
      </c>
      <c r="I18" s="62"/>
      <c r="J18" s="33">
        <v>46179</v>
      </c>
      <c r="K18" s="33">
        <v>46179</v>
      </c>
    </row>
    <row r="19" spans="2:11" ht="18.75" customHeight="1" x14ac:dyDescent="0.25">
      <c r="B19" s="62" t="s">
        <v>26</v>
      </c>
      <c r="C19" s="64" t="s">
        <v>118</v>
      </c>
      <c r="D19" s="64"/>
      <c r="E19" s="64" t="s">
        <v>21</v>
      </c>
      <c r="F19" s="64" t="s">
        <v>23</v>
      </c>
      <c r="G19" s="62" t="s">
        <v>22</v>
      </c>
      <c r="H19" s="62">
        <v>6</v>
      </c>
      <c r="I19" s="62"/>
      <c r="J19" s="33">
        <v>46186</v>
      </c>
      <c r="K19" s="33">
        <v>46186</v>
      </c>
    </row>
    <row r="20" spans="2:11" ht="18.75" customHeight="1" x14ac:dyDescent="0.25">
      <c r="B20" s="62" t="s">
        <v>26</v>
      </c>
      <c r="C20" s="64" t="s">
        <v>119</v>
      </c>
      <c r="D20" s="64"/>
      <c r="E20" s="64" t="s">
        <v>21</v>
      </c>
      <c r="F20" s="64" t="s">
        <v>23</v>
      </c>
      <c r="G20" s="62" t="s">
        <v>22</v>
      </c>
      <c r="H20" s="62">
        <v>6</v>
      </c>
      <c r="I20" s="62"/>
      <c r="J20" s="33">
        <v>46193</v>
      </c>
      <c r="K20" s="33">
        <v>46193</v>
      </c>
    </row>
    <row r="21" spans="2:11" ht="18.75" customHeight="1" x14ac:dyDescent="0.25">
      <c r="B21" s="62" t="s">
        <v>26</v>
      </c>
      <c r="C21" s="64" t="s">
        <v>120</v>
      </c>
      <c r="D21" s="64"/>
      <c r="E21" s="64" t="s">
        <v>21</v>
      </c>
      <c r="F21" s="64" t="s">
        <v>23</v>
      </c>
      <c r="G21" s="62" t="s">
        <v>22</v>
      </c>
      <c r="H21" s="62">
        <v>6</v>
      </c>
      <c r="I21" s="62"/>
      <c r="J21" s="33">
        <v>46200</v>
      </c>
      <c r="K21" s="33">
        <v>46200</v>
      </c>
    </row>
    <row r="22" spans="2:11" ht="18.75" customHeight="1" x14ac:dyDescent="0.25">
      <c r="B22" s="62" t="s">
        <v>26</v>
      </c>
      <c r="C22" s="64" t="s">
        <v>121</v>
      </c>
      <c r="D22" s="64"/>
      <c r="E22" s="64" t="s">
        <v>21</v>
      </c>
      <c r="F22" s="64" t="s">
        <v>23</v>
      </c>
      <c r="G22" s="62" t="s">
        <v>22</v>
      </c>
      <c r="H22" s="62">
        <v>2</v>
      </c>
      <c r="I22" s="62"/>
      <c r="J22" s="33">
        <v>46179</v>
      </c>
      <c r="K22" s="33">
        <v>46179</v>
      </c>
    </row>
    <row r="23" spans="2:11" ht="18.75" customHeight="1" x14ac:dyDescent="0.25">
      <c r="B23" s="62" t="s">
        <v>26</v>
      </c>
      <c r="C23" s="64" t="s">
        <v>122</v>
      </c>
      <c r="D23" s="64"/>
      <c r="E23" s="64" t="s">
        <v>21</v>
      </c>
      <c r="F23" s="64" t="s">
        <v>23</v>
      </c>
      <c r="G23" s="62" t="s">
        <v>22</v>
      </c>
      <c r="H23" s="62">
        <v>2</v>
      </c>
      <c r="I23" s="62"/>
      <c r="J23" s="33">
        <v>46186</v>
      </c>
      <c r="K23" s="33">
        <v>46186</v>
      </c>
    </row>
    <row r="24" spans="2:11" ht="18.75" customHeight="1" x14ac:dyDescent="0.25">
      <c r="B24" s="62" t="s">
        <v>26</v>
      </c>
      <c r="C24" s="64" t="s">
        <v>123</v>
      </c>
      <c r="D24" s="64"/>
      <c r="E24" s="64" t="s">
        <v>21</v>
      </c>
      <c r="F24" s="64" t="s">
        <v>23</v>
      </c>
      <c r="G24" s="62" t="s">
        <v>22</v>
      </c>
      <c r="H24" s="62">
        <v>2</v>
      </c>
      <c r="I24" s="62"/>
      <c r="J24" s="33">
        <v>46193</v>
      </c>
      <c r="K24" s="33">
        <v>46193</v>
      </c>
    </row>
    <row r="25" spans="2:11" ht="18.75" customHeight="1" x14ac:dyDescent="0.25">
      <c r="B25" s="62" t="s">
        <v>26</v>
      </c>
      <c r="C25" s="64" t="s">
        <v>124</v>
      </c>
      <c r="D25" s="64"/>
      <c r="E25" s="64" t="s">
        <v>21</v>
      </c>
      <c r="F25" s="64" t="s">
        <v>23</v>
      </c>
      <c r="G25" s="62" t="s">
        <v>22</v>
      </c>
      <c r="H25" s="62">
        <v>2</v>
      </c>
      <c r="I25" s="62"/>
      <c r="J25" s="33">
        <v>46200</v>
      </c>
      <c r="K25" s="33">
        <v>46200</v>
      </c>
    </row>
    <row r="26" spans="2:11" ht="18.75" customHeight="1" x14ac:dyDescent="0.25">
      <c r="B26" s="62" t="s">
        <v>26</v>
      </c>
      <c r="C26" s="64" t="s">
        <v>125</v>
      </c>
      <c r="D26" s="64"/>
      <c r="E26" s="64" t="s">
        <v>21</v>
      </c>
      <c r="F26" s="64" t="s">
        <v>23</v>
      </c>
      <c r="G26" s="62" t="s">
        <v>22</v>
      </c>
      <c r="H26" s="62">
        <v>30</v>
      </c>
      <c r="I26" s="62"/>
      <c r="J26" s="33">
        <v>46179</v>
      </c>
      <c r="K26" s="33">
        <v>46179</v>
      </c>
    </row>
    <row r="27" spans="2:11" ht="18.75" customHeight="1" x14ac:dyDescent="0.25">
      <c r="B27" s="62" t="s">
        <v>26</v>
      </c>
      <c r="C27" s="64" t="s">
        <v>126</v>
      </c>
      <c r="D27" s="64"/>
      <c r="E27" s="64" t="s">
        <v>21</v>
      </c>
      <c r="F27" s="64" t="s">
        <v>23</v>
      </c>
      <c r="G27" s="62" t="s">
        <v>22</v>
      </c>
      <c r="H27" s="62">
        <v>30</v>
      </c>
      <c r="I27" s="62"/>
      <c r="J27" s="33">
        <v>46186</v>
      </c>
      <c r="K27" s="33">
        <v>46186</v>
      </c>
    </row>
    <row r="28" spans="2:11" ht="18.75" customHeight="1" x14ac:dyDescent="0.25">
      <c r="B28" s="62" t="s">
        <v>26</v>
      </c>
      <c r="C28" s="64" t="s">
        <v>127</v>
      </c>
      <c r="D28" s="64"/>
      <c r="E28" s="64" t="s">
        <v>21</v>
      </c>
      <c r="F28" s="64" t="s">
        <v>23</v>
      </c>
      <c r="G28" s="62" t="s">
        <v>22</v>
      </c>
      <c r="H28" s="62">
        <v>30</v>
      </c>
      <c r="I28" s="62"/>
      <c r="J28" s="33">
        <v>46193</v>
      </c>
      <c r="K28" s="33">
        <v>46193</v>
      </c>
    </row>
    <row r="29" spans="2:11" ht="18.75" customHeight="1" x14ac:dyDescent="0.25">
      <c r="B29" s="62" t="s">
        <v>26</v>
      </c>
      <c r="C29" s="64" t="s">
        <v>128</v>
      </c>
      <c r="D29" s="64"/>
      <c r="E29" s="64" t="s">
        <v>21</v>
      </c>
      <c r="F29" s="64" t="s">
        <v>23</v>
      </c>
      <c r="G29" s="62" t="s">
        <v>22</v>
      </c>
      <c r="H29" s="62">
        <v>30</v>
      </c>
      <c r="I29" s="62"/>
      <c r="J29" s="33">
        <v>46200</v>
      </c>
      <c r="K29" s="33">
        <v>46200</v>
      </c>
    </row>
    <row r="30" spans="2:11" ht="18.75" customHeight="1" x14ac:dyDescent="0.25">
      <c r="B30" s="62" t="s">
        <v>26</v>
      </c>
      <c r="C30" s="64" t="s">
        <v>129</v>
      </c>
      <c r="D30" s="64"/>
      <c r="E30" s="64" t="s">
        <v>21</v>
      </c>
      <c r="F30" s="64" t="s">
        <v>23</v>
      </c>
      <c r="G30" s="62" t="s">
        <v>22</v>
      </c>
      <c r="H30" s="62">
        <v>30</v>
      </c>
      <c r="I30" s="62"/>
      <c r="J30" s="33">
        <v>46179</v>
      </c>
      <c r="K30" s="33">
        <v>46179</v>
      </c>
    </row>
    <row r="31" spans="2:11" ht="18.75" customHeight="1" x14ac:dyDescent="0.25">
      <c r="B31" s="62" t="s">
        <v>26</v>
      </c>
      <c r="C31" s="64" t="s">
        <v>130</v>
      </c>
      <c r="D31" s="64"/>
      <c r="E31" s="64" t="s">
        <v>21</v>
      </c>
      <c r="F31" s="64" t="s">
        <v>23</v>
      </c>
      <c r="G31" s="62" t="s">
        <v>22</v>
      </c>
      <c r="H31" s="62">
        <v>30</v>
      </c>
      <c r="I31" s="62"/>
      <c r="J31" s="33">
        <v>46186</v>
      </c>
      <c r="K31" s="33">
        <v>46186</v>
      </c>
    </row>
    <row r="32" spans="2:11" ht="18.75" customHeight="1" x14ac:dyDescent="0.25">
      <c r="B32" s="62" t="s">
        <v>26</v>
      </c>
      <c r="C32" s="64" t="s">
        <v>131</v>
      </c>
      <c r="D32" s="64"/>
      <c r="E32" s="64" t="s">
        <v>21</v>
      </c>
      <c r="F32" s="64" t="s">
        <v>23</v>
      </c>
      <c r="G32" s="62" t="s">
        <v>22</v>
      </c>
      <c r="H32" s="62">
        <v>30</v>
      </c>
      <c r="I32" s="62"/>
      <c r="J32" s="33">
        <v>46193</v>
      </c>
      <c r="K32" s="33">
        <v>46193</v>
      </c>
    </row>
    <row r="33" spans="2:11" ht="18.75" customHeight="1" x14ac:dyDescent="0.25">
      <c r="B33" s="62" t="s">
        <v>26</v>
      </c>
      <c r="C33" s="64" t="s">
        <v>132</v>
      </c>
      <c r="D33" s="64"/>
      <c r="E33" s="64" t="s">
        <v>21</v>
      </c>
      <c r="F33" s="64" t="s">
        <v>23</v>
      </c>
      <c r="G33" s="62" t="s">
        <v>22</v>
      </c>
      <c r="H33" s="62">
        <v>30</v>
      </c>
      <c r="I33" s="62"/>
      <c r="J33" s="33">
        <v>46200</v>
      </c>
      <c r="K33" s="33">
        <v>46200</v>
      </c>
    </row>
    <row r="34" spans="2:11" ht="18.75" customHeight="1" x14ac:dyDescent="0.25">
      <c r="B34" s="62" t="s">
        <v>26</v>
      </c>
      <c r="C34" s="64" t="s">
        <v>133</v>
      </c>
      <c r="D34" s="64"/>
      <c r="E34" s="64" t="s">
        <v>21</v>
      </c>
      <c r="F34" s="64" t="s">
        <v>23</v>
      </c>
      <c r="G34" s="62" t="s">
        <v>22</v>
      </c>
      <c r="H34" s="62">
        <v>2</v>
      </c>
      <c r="I34" s="62"/>
      <c r="J34" s="33">
        <v>46179</v>
      </c>
      <c r="K34" s="33">
        <v>46179</v>
      </c>
    </row>
    <row r="35" spans="2:11" ht="18.75" customHeight="1" x14ac:dyDescent="0.25">
      <c r="B35" s="62" t="s">
        <v>26</v>
      </c>
      <c r="C35" s="64" t="s">
        <v>134</v>
      </c>
      <c r="D35" s="64"/>
      <c r="E35" s="64" t="s">
        <v>21</v>
      </c>
      <c r="F35" s="64" t="s">
        <v>23</v>
      </c>
      <c r="G35" s="62" t="s">
        <v>22</v>
      </c>
      <c r="H35" s="62">
        <v>2</v>
      </c>
      <c r="I35" s="62"/>
      <c r="J35" s="33">
        <v>46186</v>
      </c>
      <c r="K35" s="33">
        <v>46186</v>
      </c>
    </row>
    <row r="36" spans="2:11" ht="18.75" customHeight="1" x14ac:dyDescent="0.25">
      <c r="B36" s="62" t="s">
        <v>26</v>
      </c>
      <c r="C36" s="64" t="s">
        <v>135</v>
      </c>
      <c r="D36" s="64"/>
      <c r="E36" s="64" t="s">
        <v>21</v>
      </c>
      <c r="F36" s="64" t="s">
        <v>23</v>
      </c>
      <c r="G36" s="62" t="s">
        <v>22</v>
      </c>
      <c r="H36" s="62">
        <v>2</v>
      </c>
      <c r="I36" s="62"/>
      <c r="J36" s="33">
        <v>46193</v>
      </c>
      <c r="K36" s="33">
        <v>46193</v>
      </c>
    </row>
    <row r="37" spans="2:11" ht="18.75" customHeight="1" x14ac:dyDescent="0.25">
      <c r="B37" s="62" t="s">
        <v>26</v>
      </c>
      <c r="C37" s="64" t="s">
        <v>136</v>
      </c>
      <c r="D37" s="64"/>
      <c r="E37" s="64" t="s">
        <v>21</v>
      </c>
      <c r="F37" s="64" t="s">
        <v>23</v>
      </c>
      <c r="G37" s="62" t="s">
        <v>22</v>
      </c>
      <c r="H37" s="62">
        <v>2</v>
      </c>
      <c r="I37" s="62"/>
      <c r="J37" s="33">
        <v>46200</v>
      </c>
      <c r="K37" s="33">
        <v>46200</v>
      </c>
    </row>
    <row r="38" spans="2:11" ht="18.75" customHeight="1" x14ac:dyDescent="0.25">
      <c r="B38" s="62" t="s">
        <v>26</v>
      </c>
      <c r="C38" s="64" t="s">
        <v>137</v>
      </c>
      <c r="D38" s="64"/>
      <c r="E38" s="64" t="s">
        <v>21</v>
      </c>
      <c r="F38" s="64" t="s">
        <v>23</v>
      </c>
      <c r="G38" s="62" t="s">
        <v>22</v>
      </c>
      <c r="H38" s="62">
        <v>30</v>
      </c>
      <c r="I38" s="62"/>
      <c r="J38" s="33">
        <v>46177</v>
      </c>
      <c r="K38" s="33">
        <v>46177</v>
      </c>
    </row>
    <row r="39" spans="2:11" ht="18.75" customHeight="1" x14ac:dyDescent="0.25">
      <c r="B39" s="62" t="s">
        <v>26</v>
      </c>
      <c r="C39" s="64" t="s">
        <v>138</v>
      </c>
      <c r="D39" s="64"/>
      <c r="E39" s="64" t="s">
        <v>21</v>
      </c>
      <c r="F39" s="64" t="s">
        <v>23</v>
      </c>
      <c r="G39" s="62" t="s">
        <v>22</v>
      </c>
      <c r="H39" s="62">
        <v>30</v>
      </c>
      <c r="I39" s="62"/>
      <c r="J39" s="33">
        <v>46184</v>
      </c>
      <c r="K39" s="33">
        <v>46184</v>
      </c>
    </row>
    <row r="40" spans="2:11" ht="18.75" customHeight="1" x14ac:dyDescent="0.25">
      <c r="B40" s="62" t="s">
        <v>26</v>
      </c>
      <c r="C40" s="64" t="s">
        <v>139</v>
      </c>
      <c r="D40" s="64"/>
      <c r="E40" s="64" t="s">
        <v>21</v>
      </c>
      <c r="F40" s="64" t="s">
        <v>23</v>
      </c>
      <c r="G40" s="62" t="s">
        <v>22</v>
      </c>
      <c r="H40" s="62">
        <v>30</v>
      </c>
      <c r="I40" s="62"/>
      <c r="J40" s="33">
        <v>46191</v>
      </c>
      <c r="K40" s="33">
        <v>46191</v>
      </c>
    </row>
    <row r="41" spans="2:11" ht="18.75" customHeight="1" x14ac:dyDescent="0.25">
      <c r="B41" s="62" t="s">
        <v>26</v>
      </c>
      <c r="C41" s="64" t="s">
        <v>140</v>
      </c>
      <c r="D41" s="64"/>
      <c r="E41" s="64" t="s">
        <v>21</v>
      </c>
      <c r="F41" s="64" t="s">
        <v>23</v>
      </c>
      <c r="G41" s="62" t="s">
        <v>22</v>
      </c>
      <c r="H41" s="62">
        <v>30</v>
      </c>
      <c r="I41" s="62"/>
      <c r="J41" s="33">
        <v>46198</v>
      </c>
      <c r="K41" s="33">
        <v>46198</v>
      </c>
    </row>
    <row r="42" spans="2:11" ht="18.75" customHeight="1" x14ac:dyDescent="0.25">
      <c r="B42" s="62" t="s">
        <v>26</v>
      </c>
      <c r="C42" s="64" t="s">
        <v>141</v>
      </c>
      <c r="D42" s="64"/>
      <c r="E42" s="64" t="s">
        <v>21</v>
      </c>
      <c r="F42" s="64" t="s">
        <v>23</v>
      </c>
      <c r="G42" s="62" t="s">
        <v>22</v>
      </c>
      <c r="H42" s="62">
        <v>30</v>
      </c>
      <c r="I42" s="62"/>
      <c r="J42" s="33">
        <v>46176</v>
      </c>
      <c r="K42" s="33">
        <v>46176</v>
      </c>
    </row>
    <row r="43" spans="2:11" ht="18.75" customHeight="1" x14ac:dyDescent="0.25">
      <c r="B43" s="62" t="s">
        <v>26</v>
      </c>
      <c r="C43" s="64" t="s">
        <v>142</v>
      </c>
      <c r="D43" s="64"/>
      <c r="E43" s="64" t="s">
        <v>21</v>
      </c>
      <c r="F43" s="64" t="s">
        <v>23</v>
      </c>
      <c r="G43" s="62" t="s">
        <v>22</v>
      </c>
      <c r="H43" s="62">
        <v>30</v>
      </c>
      <c r="I43" s="62"/>
      <c r="J43" s="33">
        <v>46183</v>
      </c>
      <c r="K43" s="33">
        <v>46183</v>
      </c>
    </row>
    <row r="44" spans="2:11" ht="18.75" customHeight="1" x14ac:dyDescent="0.25">
      <c r="B44" s="62" t="s">
        <v>26</v>
      </c>
      <c r="C44" s="64" t="s">
        <v>143</v>
      </c>
      <c r="D44" s="64"/>
      <c r="E44" s="64" t="s">
        <v>21</v>
      </c>
      <c r="F44" s="64" t="s">
        <v>23</v>
      </c>
      <c r="G44" s="62" t="s">
        <v>22</v>
      </c>
      <c r="H44" s="62">
        <v>30</v>
      </c>
      <c r="I44" s="62"/>
      <c r="J44" s="33">
        <v>46190</v>
      </c>
      <c r="K44" s="33">
        <v>46190</v>
      </c>
    </row>
    <row r="45" spans="2:11" ht="18.75" customHeight="1" x14ac:dyDescent="0.25">
      <c r="B45" s="62" t="s">
        <v>26</v>
      </c>
      <c r="C45" s="64" t="s">
        <v>144</v>
      </c>
      <c r="D45" s="64"/>
      <c r="E45" s="64" t="s">
        <v>21</v>
      </c>
      <c r="F45" s="64" t="s">
        <v>23</v>
      </c>
      <c r="G45" s="62" t="s">
        <v>22</v>
      </c>
      <c r="H45" s="62">
        <v>30</v>
      </c>
      <c r="I45" s="62"/>
      <c r="J45" s="33">
        <v>46197</v>
      </c>
      <c r="K45" s="33">
        <v>46197</v>
      </c>
    </row>
    <row r="46" spans="2:11" ht="18.75" customHeight="1" x14ac:dyDescent="0.25">
      <c r="B46" s="62" t="s">
        <v>26</v>
      </c>
      <c r="C46" s="64" t="s">
        <v>145</v>
      </c>
      <c r="D46" s="64"/>
      <c r="E46" s="64" t="s">
        <v>21</v>
      </c>
      <c r="F46" s="64" t="s">
        <v>23</v>
      </c>
      <c r="G46" s="62" t="s">
        <v>22</v>
      </c>
      <c r="H46" s="62">
        <v>30</v>
      </c>
      <c r="I46" s="62"/>
      <c r="J46" s="33">
        <v>46174</v>
      </c>
      <c r="K46" s="33">
        <v>46174</v>
      </c>
    </row>
    <row r="47" spans="2:11" ht="18.75" customHeight="1" x14ac:dyDescent="0.25">
      <c r="B47" s="62" t="s">
        <v>26</v>
      </c>
      <c r="C47" s="64" t="s">
        <v>146</v>
      </c>
      <c r="D47" s="64"/>
      <c r="E47" s="64" t="s">
        <v>21</v>
      </c>
      <c r="F47" s="64" t="s">
        <v>23</v>
      </c>
      <c r="G47" s="62" t="s">
        <v>22</v>
      </c>
      <c r="H47" s="62">
        <v>30</v>
      </c>
      <c r="I47" s="62"/>
      <c r="J47" s="33">
        <v>46181</v>
      </c>
      <c r="K47" s="33">
        <v>46181</v>
      </c>
    </row>
    <row r="48" spans="2:11" ht="18.75" customHeight="1" x14ac:dyDescent="0.25">
      <c r="B48" s="62" t="s">
        <v>26</v>
      </c>
      <c r="C48" s="64" t="s">
        <v>147</v>
      </c>
      <c r="D48" s="64"/>
      <c r="E48" s="64" t="s">
        <v>21</v>
      </c>
      <c r="F48" s="64" t="s">
        <v>23</v>
      </c>
      <c r="G48" s="62" t="s">
        <v>22</v>
      </c>
      <c r="H48" s="62">
        <v>30</v>
      </c>
      <c r="I48" s="62"/>
      <c r="J48" s="33">
        <v>46188</v>
      </c>
      <c r="K48" s="33">
        <v>46188</v>
      </c>
    </row>
    <row r="49" spans="2:11" ht="18.75" customHeight="1" x14ac:dyDescent="0.25">
      <c r="B49" s="62" t="s">
        <v>26</v>
      </c>
      <c r="C49" s="64" t="s">
        <v>148</v>
      </c>
      <c r="D49" s="64"/>
      <c r="E49" s="64" t="s">
        <v>21</v>
      </c>
      <c r="F49" s="64" t="s">
        <v>23</v>
      </c>
      <c r="G49" s="62" t="s">
        <v>22</v>
      </c>
      <c r="H49" s="62">
        <v>30</v>
      </c>
      <c r="I49" s="62"/>
      <c r="J49" s="33">
        <v>46195</v>
      </c>
      <c r="K49" s="33">
        <v>46195</v>
      </c>
    </row>
    <row r="50" spans="2:11" ht="18.75" customHeight="1" x14ac:dyDescent="0.25">
      <c r="B50" s="62" t="s">
        <v>26</v>
      </c>
      <c r="C50" s="64" t="s">
        <v>149</v>
      </c>
      <c r="D50" s="64"/>
      <c r="E50" s="64" t="s">
        <v>21</v>
      </c>
      <c r="F50" s="64" t="s">
        <v>23</v>
      </c>
      <c r="G50" s="62" t="s">
        <v>22</v>
      </c>
      <c r="H50" s="62">
        <v>30</v>
      </c>
      <c r="I50" s="62"/>
      <c r="J50" s="33">
        <v>46202</v>
      </c>
      <c r="K50" s="33">
        <v>46202</v>
      </c>
    </row>
    <row r="51" spans="2:11" ht="18.75" customHeight="1" x14ac:dyDescent="0.25">
      <c r="B51" s="62" t="s">
        <v>26</v>
      </c>
      <c r="C51" s="64" t="s">
        <v>150</v>
      </c>
      <c r="D51" s="64"/>
      <c r="E51" s="64" t="s">
        <v>21</v>
      </c>
      <c r="F51" s="64" t="s">
        <v>23</v>
      </c>
      <c r="G51" s="62" t="s">
        <v>22</v>
      </c>
      <c r="H51" s="62">
        <v>30</v>
      </c>
      <c r="I51" s="62"/>
      <c r="J51" s="33">
        <v>46175</v>
      </c>
      <c r="K51" s="33">
        <v>46175</v>
      </c>
    </row>
    <row r="52" spans="2:11" ht="18.75" customHeight="1" x14ac:dyDescent="0.25">
      <c r="B52" s="62" t="s">
        <v>26</v>
      </c>
      <c r="C52" s="64" t="s">
        <v>151</v>
      </c>
      <c r="D52" s="64"/>
      <c r="E52" s="64" t="s">
        <v>21</v>
      </c>
      <c r="F52" s="64" t="s">
        <v>23</v>
      </c>
      <c r="G52" s="62" t="s">
        <v>22</v>
      </c>
      <c r="H52" s="62">
        <v>30</v>
      </c>
      <c r="I52" s="62"/>
      <c r="J52" s="33">
        <v>46182</v>
      </c>
      <c r="K52" s="33">
        <v>46182</v>
      </c>
    </row>
    <row r="53" spans="2:11" ht="18.75" customHeight="1" x14ac:dyDescent="0.25">
      <c r="B53" s="62" t="s">
        <v>26</v>
      </c>
      <c r="C53" s="64" t="s">
        <v>152</v>
      </c>
      <c r="D53" s="64"/>
      <c r="E53" s="64" t="s">
        <v>21</v>
      </c>
      <c r="F53" s="64" t="s">
        <v>23</v>
      </c>
      <c r="G53" s="62" t="s">
        <v>22</v>
      </c>
      <c r="H53" s="62">
        <v>30</v>
      </c>
      <c r="I53" s="62"/>
      <c r="J53" s="33">
        <v>46189</v>
      </c>
      <c r="K53" s="33">
        <v>46189</v>
      </c>
    </row>
    <row r="54" spans="2:11" ht="18.75" customHeight="1" x14ac:dyDescent="0.25">
      <c r="B54" s="62" t="s">
        <v>26</v>
      </c>
      <c r="C54" s="64" t="s">
        <v>153</v>
      </c>
      <c r="D54" s="64"/>
      <c r="E54" s="64" t="s">
        <v>21</v>
      </c>
      <c r="F54" s="64" t="s">
        <v>23</v>
      </c>
      <c r="G54" s="62" t="s">
        <v>22</v>
      </c>
      <c r="H54" s="62">
        <v>30</v>
      </c>
      <c r="I54" s="62"/>
      <c r="J54" s="33">
        <v>46196</v>
      </c>
      <c r="K54" s="33">
        <v>46196</v>
      </c>
    </row>
    <row r="55" spans="2:11" ht="18.75" customHeight="1" x14ac:dyDescent="0.25">
      <c r="B55" s="62" t="s">
        <v>26</v>
      </c>
      <c r="C55" s="64" t="s">
        <v>154</v>
      </c>
      <c r="D55" s="64"/>
      <c r="E55" s="64" t="s">
        <v>21</v>
      </c>
      <c r="F55" s="64" t="s">
        <v>23</v>
      </c>
      <c r="G55" s="62" t="s">
        <v>22</v>
      </c>
      <c r="H55" s="62">
        <v>30</v>
      </c>
      <c r="I55" s="62"/>
      <c r="J55" s="33">
        <v>46203</v>
      </c>
      <c r="K55" s="33">
        <v>46203</v>
      </c>
    </row>
    <row r="56" spans="2:11" ht="18.75" customHeight="1" x14ac:dyDescent="0.25">
      <c r="B56" s="62" t="s">
        <v>26</v>
      </c>
      <c r="C56" s="64" t="s">
        <v>155</v>
      </c>
      <c r="D56" s="64" t="s">
        <v>79</v>
      </c>
      <c r="E56" s="64" t="s">
        <v>21</v>
      </c>
      <c r="F56" s="64" t="s">
        <v>23</v>
      </c>
      <c r="G56" s="62" t="s">
        <v>22</v>
      </c>
      <c r="H56" s="62">
        <v>20</v>
      </c>
      <c r="I56" s="62"/>
      <c r="J56" s="33">
        <v>46180</v>
      </c>
      <c r="K56" s="33">
        <v>46180</v>
      </c>
    </row>
    <row r="57" spans="2:11" ht="18.75" customHeight="1" x14ac:dyDescent="0.25">
      <c r="B57" s="62" t="s">
        <v>26</v>
      </c>
      <c r="C57" s="64" t="s">
        <v>156</v>
      </c>
      <c r="D57" s="64" t="s">
        <v>79</v>
      </c>
      <c r="E57" s="64" t="s">
        <v>21</v>
      </c>
      <c r="F57" s="64" t="s">
        <v>23</v>
      </c>
      <c r="G57" s="62" t="s">
        <v>22</v>
      </c>
      <c r="H57" s="62">
        <v>20</v>
      </c>
      <c r="I57" s="62"/>
      <c r="J57" s="33">
        <v>46187</v>
      </c>
      <c r="K57" s="33">
        <v>46187</v>
      </c>
    </row>
    <row r="58" spans="2:11" ht="18.75" customHeight="1" x14ac:dyDescent="0.25">
      <c r="B58" s="62" t="s">
        <v>26</v>
      </c>
      <c r="C58" s="64" t="s">
        <v>157</v>
      </c>
      <c r="D58" s="64" t="s">
        <v>79</v>
      </c>
      <c r="E58" s="64" t="s">
        <v>21</v>
      </c>
      <c r="F58" s="64" t="s">
        <v>23</v>
      </c>
      <c r="G58" s="62" t="s">
        <v>22</v>
      </c>
      <c r="H58" s="62">
        <v>20</v>
      </c>
      <c r="I58" s="62"/>
      <c r="J58" s="33">
        <v>46194</v>
      </c>
      <c r="K58" s="33">
        <v>46194</v>
      </c>
    </row>
    <row r="59" spans="2:11" ht="18.75" customHeight="1" x14ac:dyDescent="0.25">
      <c r="B59" s="62" t="s">
        <v>26</v>
      </c>
      <c r="C59" s="64" t="s">
        <v>158</v>
      </c>
      <c r="D59" s="64" t="s">
        <v>79</v>
      </c>
      <c r="E59" s="64" t="s">
        <v>21</v>
      </c>
      <c r="F59" s="64" t="s">
        <v>23</v>
      </c>
      <c r="G59" s="62" t="s">
        <v>22</v>
      </c>
      <c r="H59" s="62">
        <v>20</v>
      </c>
      <c r="I59" s="62"/>
      <c r="J59" s="33">
        <v>46201</v>
      </c>
      <c r="K59" s="33">
        <v>46201</v>
      </c>
    </row>
    <row r="60" spans="2:11" ht="18.75" customHeight="1" x14ac:dyDescent="0.25">
      <c r="B60" s="62" t="s">
        <v>26</v>
      </c>
      <c r="C60" s="64" t="s">
        <v>159</v>
      </c>
      <c r="D60" s="64" t="s">
        <v>83</v>
      </c>
      <c r="E60" s="64" t="s">
        <v>21</v>
      </c>
      <c r="F60" s="64" t="s">
        <v>23</v>
      </c>
      <c r="G60" s="62" t="s">
        <v>22</v>
      </c>
      <c r="H60" s="62">
        <v>20</v>
      </c>
      <c r="I60" s="62"/>
      <c r="J60" s="33">
        <v>46180</v>
      </c>
      <c r="K60" s="33">
        <v>46180</v>
      </c>
    </row>
    <row r="61" spans="2:11" ht="18.75" customHeight="1" x14ac:dyDescent="0.25">
      <c r="B61" s="62" t="s">
        <v>26</v>
      </c>
      <c r="C61" s="64" t="s">
        <v>160</v>
      </c>
      <c r="D61" s="64" t="s">
        <v>83</v>
      </c>
      <c r="E61" s="64" t="s">
        <v>21</v>
      </c>
      <c r="F61" s="64" t="s">
        <v>23</v>
      </c>
      <c r="G61" s="62" t="s">
        <v>22</v>
      </c>
      <c r="H61" s="62">
        <v>20</v>
      </c>
      <c r="I61" s="62"/>
      <c r="J61" s="33">
        <v>46187</v>
      </c>
      <c r="K61" s="33">
        <v>46187</v>
      </c>
    </row>
    <row r="62" spans="2:11" ht="18.75" customHeight="1" x14ac:dyDescent="0.25">
      <c r="B62" s="62" t="s">
        <v>26</v>
      </c>
      <c r="C62" s="64" t="s">
        <v>161</v>
      </c>
      <c r="D62" s="64" t="s">
        <v>83</v>
      </c>
      <c r="E62" s="64" t="s">
        <v>21</v>
      </c>
      <c r="F62" s="64" t="s">
        <v>23</v>
      </c>
      <c r="G62" s="62" t="s">
        <v>22</v>
      </c>
      <c r="H62" s="62">
        <v>20</v>
      </c>
      <c r="I62" s="62"/>
      <c r="J62" s="33">
        <v>46194</v>
      </c>
      <c r="K62" s="33">
        <v>46194</v>
      </c>
    </row>
    <row r="63" spans="2:11" ht="18.75" customHeight="1" x14ac:dyDescent="0.25">
      <c r="B63" s="62" t="s">
        <v>26</v>
      </c>
      <c r="C63" s="64" t="s">
        <v>162</v>
      </c>
      <c r="D63" s="64" t="s">
        <v>83</v>
      </c>
      <c r="E63" s="64" t="s">
        <v>21</v>
      </c>
      <c r="F63" s="64" t="s">
        <v>23</v>
      </c>
      <c r="G63" s="62" t="s">
        <v>22</v>
      </c>
      <c r="H63" s="62">
        <v>20</v>
      </c>
      <c r="I63" s="62"/>
      <c r="J63" s="33">
        <v>46201</v>
      </c>
      <c r="K63" s="33">
        <v>46201</v>
      </c>
    </row>
    <row r="64" spans="2:11" ht="18.75" customHeight="1" x14ac:dyDescent="0.25">
      <c r="B64" s="62" t="s">
        <v>26</v>
      </c>
      <c r="C64" s="64" t="s">
        <v>163</v>
      </c>
      <c r="D64" s="64" t="s">
        <v>81</v>
      </c>
      <c r="E64" s="64" t="s">
        <v>21</v>
      </c>
      <c r="F64" s="64" t="s">
        <v>23</v>
      </c>
      <c r="G64" s="62" t="s">
        <v>22</v>
      </c>
      <c r="H64" s="62">
        <v>20</v>
      </c>
      <c r="I64" s="62"/>
      <c r="J64" s="33">
        <v>46180</v>
      </c>
      <c r="K64" s="33">
        <v>46180</v>
      </c>
    </row>
    <row r="65" spans="2:11" ht="18.75" customHeight="1" x14ac:dyDescent="0.25">
      <c r="B65" s="62" t="s">
        <v>26</v>
      </c>
      <c r="C65" s="64" t="s">
        <v>164</v>
      </c>
      <c r="D65" s="64" t="s">
        <v>81</v>
      </c>
      <c r="E65" s="64" t="s">
        <v>21</v>
      </c>
      <c r="F65" s="64" t="s">
        <v>23</v>
      </c>
      <c r="G65" s="62" t="s">
        <v>22</v>
      </c>
      <c r="H65" s="62">
        <v>20</v>
      </c>
      <c r="I65" s="62"/>
      <c r="J65" s="33">
        <v>46187</v>
      </c>
      <c r="K65" s="33">
        <v>46187</v>
      </c>
    </row>
    <row r="66" spans="2:11" ht="18.75" customHeight="1" x14ac:dyDescent="0.25">
      <c r="B66" s="62" t="s">
        <v>26</v>
      </c>
      <c r="C66" s="64" t="s">
        <v>165</v>
      </c>
      <c r="D66" s="64" t="s">
        <v>81</v>
      </c>
      <c r="E66" s="64" t="s">
        <v>21</v>
      </c>
      <c r="F66" s="64" t="s">
        <v>23</v>
      </c>
      <c r="G66" s="62" t="s">
        <v>22</v>
      </c>
      <c r="H66" s="62">
        <v>20</v>
      </c>
      <c r="I66" s="62"/>
      <c r="J66" s="33">
        <v>46194</v>
      </c>
      <c r="K66" s="33">
        <v>46194</v>
      </c>
    </row>
    <row r="67" spans="2:11" ht="18.75" customHeight="1" x14ac:dyDescent="0.25">
      <c r="B67" s="62" t="s">
        <v>26</v>
      </c>
      <c r="C67" s="64" t="s">
        <v>166</v>
      </c>
      <c r="D67" s="64" t="s">
        <v>81</v>
      </c>
      <c r="E67" s="64" t="s">
        <v>21</v>
      </c>
      <c r="F67" s="64" t="s">
        <v>23</v>
      </c>
      <c r="G67" s="62" t="s">
        <v>22</v>
      </c>
      <c r="H67" s="62">
        <v>20</v>
      </c>
      <c r="I67" s="62"/>
      <c r="J67" s="33">
        <v>46201</v>
      </c>
      <c r="K67" s="33">
        <v>46201</v>
      </c>
    </row>
    <row r="68" spans="2:11" ht="18.75" customHeight="1" x14ac:dyDescent="0.25">
      <c r="B68" s="62" t="s">
        <v>26</v>
      </c>
      <c r="C68" s="64" t="s">
        <v>167</v>
      </c>
      <c r="D68" s="64"/>
      <c r="E68" s="64" t="s">
        <v>21</v>
      </c>
      <c r="F68" s="64" t="s">
        <v>23</v>
      </c>
      <c r="G68" s="62" t="s">
        <v>22</v>
      </c>
      <c r="H68" s="62">
        <v>8</v>
      </c>
      <c r="I68" s="62"/>
      <c r="J68" s="33">
        <v>46180</v>
      </c>
      <c r="K68" s="33">
        <v>46180</v>
      </c>
    </row>
    <row r="69" spans="2:11" ht="18.75" customHeight="1" x14ac:dyDescent="0.25">
      <c r="B69" s="62" t="s">
        <v>26</v>
      </c>
      <c r="C69" s="64" t="s">
        <v>168</v>
      </c>
      <c r="D69" s="64"/>
      <c r="E69" s="64" t="s">
        <v>21</v>
      </c>
      <c r="F69" s="64" t="s">
        <v>23</v>
      </c>
      <c r="G69" s="62" t="s">
        <v>22</v>
      </c>
      <c r="H69" s="62">
        <v>8</v>
      </c>
      <c r="I69" s="62"/>
      <c r="J69" s="33">
        <v>46187</v>
      </c>
      <c r="K69" s="33">
        <v>46187</v>
      </c>
    </row>
    <row r="70" spans="2:11" ht="18.75" customHeight="1" x14ac:dyDescent="0.25">
      <c r="B70" s="62" t="s">
        <v>26</v>
      </c>
      <c r="C70" s="64" t="s">
        <v>169</v>
      </c>
      <c r="D70" s="64"/>
      <c r="E70" s="64" t="s">
        <v>21</v>
      </c>
      <c r="F70" s="64" t="s">
        <v>23</v>
      </c>
      <c r="G70" s="62" t="s">
        <v>22</v>
      </c>
      <c r="H70" s="62">
        <v>8</v>
      </c>
      <c r="I70" s="62"/>
      <c r="J70" s="33">
        <v>46194</v>
      </c>
      <c r="K70" s="33">
        <v>46194</v>
      </c>
    </row>
    <row r="71" spans="2:11" ht="18.75" customHeight="1" x14ac:dyDescent="0.25">
      <c r="B71" s="62" t="s">
        <v>26</v>
      </c>
      <c r="C71" s="64" t="s">
        <v>170</v>
      </c>
      <c r="D71" s="64"/>
      <c r="E71" s="64" t="s">
        <v>21</v>
      </c>
      <c r="F71" s="64" t="s">
        <v>23</v>
      </c>
      <c r="G71" s="62" t="s">
        <v>22</v>
      </c>
      <c r="H71" s="62">
        <v>8</v>
      </c>
      <c r="I71" s="62"/>
      <c r="J71" s="33">
        <v>46201</v>
      </c>
      <c r="K71" s="33">
        <v>46201</v>
      </c>
    </row>
    <row r="72" spans="2:11" ht="18.75" customHeight="1" x14ac:dyDescent="0.25">
      <c r="B72" s="62" t="s">
        <v>26</v>
      </c>
      <c r="C72" s="64" t="s">
        <v>171</v>
      </c>
      <c r="D72" s="64"/>
      <c r="E72" s="64" t="s">
        <v>21</v>
      </c>
      <c r="F72" s="64" t="s">
        <v>23</v>
      </c>
      <c r="G72" s="62" t="s">
        <v>22</v>
      </c>
      <c r="H72" s="62">
        <v>20</v>
      </c>
      <c r="I72" s="62"/>
      <c r="J72" s="33">
        <v>46180</v>
      </c>
      <c r="K72" s="33">
        <v>46180</v>
      </c>
    </row>
    <row r="73" spans="2:11" ht="18.75" customHeight="1" x14ac:dyDescent="0.25">
      <c r="B73" s="62" t="s">
        <v>26</v>
      </c>
      <c r="C73" s="64" t="s">
        <v>172</v>
      </c>
      <c r="D73" s="64"/>
      <c r="E73" s="64" t="s">
        <v>21</v>
      </c>
      <c r="F73" s="64" t="s">
        <v>23</v>
      </c>
      <c r="G73" s="62" t="s">
        <v>22</v>
      </c>
      <c r="H73" s="62">
        <v>20</v>
      </c>
      <c r="I73" s="62"/>
      <c r="J73" s="33">
        <v>46187</v>
      </c>
      <c r="K73" s="33">
        <v>46187</v>
      </c>
    </row>
    <row r="74" spans="2:11" ht="18.75" customHeight="1" x14ac:dyDescent="0.25">
      <c r="B74" s="62" t="s">
        <v>26</v>
      </c>
      <c r="C74" s="64" t="s">
        <v>173</v>
      </c>
      <c r="D74" s="64"/>
      <c r="E74" s="64" t="s">
        <v>21</v>
      </c>
      <c r="F74" s="64" t="s">
        <v>23</v>
      </c>
      <c r="G74" s="62" t="s">
        <v>22</v>
      </c>
      <c r="H74" s="62">
        <v>20</v>
      </c>
      <c r="I74" s="62"/>
      <c r="J74" s="33">
        <v>46194</v>
      </c>
      <c r="K74" s="33">
        <v>46194</v>
      </c>
    </row>
    <row r="75" spans="2:11" ht="18.75" customHeight="1" x14ac:dyDescent="0.25">
      <c r="B75" s="62" t="s">
        <v>26</v>
      </c>
      <c r="C75" s="64" t="s">
        <v>174</v>
      </c>
      <c r="D75" s="64"/>
      <c r="E75" s="64" t="s">
        <v>21</v>
      </c>
      <c r="F75" s="64" t="s">
        <v>23</v>
      </c>
      <c r="G75" s="62" t="s">
        <v>22</v>
      </c>
      <c r="H75" s="62">
        <v>20</v>
      </c>
      <c r="I75" s="62"/>
      <c r="J75" s="33">
        <v>46201</v>
      </c>
      <c r="K75" s="33">
        <v>46201</v>
      </c>
    </row>
    <row r="76" spans="2:11" ht="18.75" customHeight="1" x14ac:dyDescent="0.25">
      <c r="B76" s="62" t="s">
        <v>26</v>
      </c>
      <c r="C76" s="64" t="s">
        <v>175</v>
      </c>
      <c r="D76" s="64" t="s">
        <v>85</v>
      </c>
      <c r="E76" s="64" t="s">
        <v>21</v>
      </c>
      <c r="F76" s="64" t="s">
        <v>23</v>
      </c>
      <c r="G76" s="62" t="s">
        <v>22</v>
      </c>
      <c r="H76" s="62">
        <v>12</v>
      </c>
      <c r="I76" s="62"/>
      <c r="J76" s="33">
        <v>46180</v>
      </c>
      <c r="K76" s="33">
        <v>46180</v>
      </c>
    </row>
    <row r="77" spans="2:11" ht="18.75" customHeight="1" x14ac:dyDescent="0.25">
      <c r="B77" s="62" t="s">
        <v>26</v>
      </c>
      <c r="C77" s="64" t="s">
        <v>176</v>
      </c>
      <c r="D77" s="64" t="s">
        <v>85</v>
      </c>
      <c r="E77" s="64" t="s">
        <v>21</v>
      </c>
      <c r="F77" s="64" t="s">
        <v>23</v>
      </c>
      <c r="G77" s="62" t="s">
        <v>22</v>
      </c>
      <c r="H77" s="62">
        <v>12</v>
      </c>
      <c r="I77" s="62"/>
      <c r="J77" s="33">
        <v>46187</v>
      </c>
      <c r="K77" s="33">
        <v>46187</v>
      </c>
    </row>
    <row r="78" spans="2:11" ht="18.75" customHeight="1" x14ac:dyDescent="0.25">
      <c r="B78" s="62" t="s">
        <v>26</v>
      </c>
      <c r="C78" s="64" t="s">
        <v>177</v>
      </c>
      <c r="D78" s="64" t="s">
        <v>85</v>
      </c>
      <c r="E78" s="64" t="s">
        <v>21</v>
      </c>
      <c r="F78" s="64" t="s">
        <v>23</v>
      </c>
      <c r="G78" s="62" t="s">
        <v>22</v>
      </c>
      <c r="H78" s="62">
        <v>12</v>
      </c>
      <c r="I78" s="62"/>
      <c r="J78" s="33">
        <v>46194</v>
      </c>
      <c r="K78" s="33">
        <v>46194</v>
      </c>
    </row>
    <row r="79" spans="2:11" ht="18.75" customHeight="1" x14ac:dyDescent="0.25">
      <c r="B79" s="62" t="s">
        <v>26</v>
      </c>
      <c r="C79" s="64" t="s">
        <v>178</v>
      </c>
      <c r="D79" s="64" t="s">
        <v>85</v>
      </c>
      <c r="E79" s="64" t="s">
        <v>21</v>
      </c>
      <c r="F79" s="64" t="s">
        <v>23</v>
      </c>
      <c r="G79" s="62" t="s">
        <v>22</v>
      </c>
      <c r="H79" s="62">
        <v>12</v>
      </c>
      <c r="I79" s="62"/>
      <c r="J79" s="33">
        <v>46201</v>
      </c>
      <c r="K79" s="33">
        <v>46201</v>
      </c>
    </row>
    <row r="80" spans="2:11" ht="18.75" customHeight="1" x14ac:dyDescent="0.25">
      <c r="B80" s="62" t="s">
        <v>26</v>
      </c>
      <c r="C80" s="64" t="s">
        <v>191</v>
      </c>
      <c r="D80" s="64"/>
      <c r="E80" s="64" t="s">
        <v>21</v>
      </c>
      <c r="F80" s="64" t="s">
        <v>23</v>
      </c>
      <c r="G80" s="62" t="s">
        <v>22</v>
      </c>
      <c r="H80" s="62">
        <v>2</v>
      </c>
      <c r="I80" s="62"/>
      <c r="J80" s="33">
        <v>46180</v>
      </c>
      <c r="K80" s="33">
        <v>46180</v>
      </c>
    </row>
    <row r="81" spans="2:11" ht="18.75" customHeight="1" x14ac:dyDescent="0.25">
      <c r="B81" s="62" t="s">
        <v>26</v>
      </c>
      <c r="C81" s="64" t="s">
        <v>192</v>
      </c>
      <c r="D81" s="64"/>
      <c r="E81" s="64" t="s">
        <v>21</v>
      </c>
      <c r="F81" s="64" t="s">
        <v>23</v>
      </c>
      <c r="G81" s="62" t="s">
        <v>22</v>
      </c>
      <c r="H81" s="62">
        <v>2</v>
      </c>
      <c r="I81" s="62"/>
      <c r="J81" s="33">
        <v>46187</v>
      </c>
      <c r="K81" s="33">
        <v>46187</v>
      </c>
    </row>
    <row r="82" spans="2:11" ht="18.75" customHeight="1" x14ac:dyDescent="0.25">
      <c r="B82" s="62" t="s">
        <v>26</v>
      </c>
      <c r="C82" s="64" t="s">
        <v>193</v>
      </c>
      <c r="D82" s="64"/>
      <c r="E82" s="64" t="s">
        <v>21</v>
      </c>
      <c r="F82" s="64" t="s">
        <v>23</v>
      </c>
      <c r="G82" s="62" t="s">
        <v>22</v>
      </c>
      <c r="H82" s="62">
        <v>2</v>
      </c>
      <c r="I82" s="62"/>
      <c r="J82" s="33">
        <v>46194</v>
      </c>
      <c r="K82" s="33">
        <v>46194</v>
      </c>
    </row>
    <row r="83" spans="2:11" ht="18.75" customHeight="1" x14ac:dyDescent="0.25">
      <c r="B83" s="62" t="s">
        <v>26</v>
      </c>
      <c r="C83" s="64" t="s">
        <v>194</v>
      </c>
      <c r="D83" s="64"/>
      <c r="E83" s="64" t="s">
        <v>21</v>
      </c>
      <c r="F83" s="64" t="s">
        <v>23</v>
      </c>
      <c r="G83" s="62" t="s">
        <v>22</v>
      </c>
      <c r="H83" s="62">
        <v>2</v>
      </c>
      <c r="I83" s="62"/>
      <c r="J83" s="33">
        <v>46201</v>
      </c>
      <c r="K83" s="33">
        <v>46201</v>
      </c>
    </row>
    <row r="84" spans="2:11" ht="18.75" customHeight="1" x14ac:dyDescent="0.25">
      <c r="B84" s="62" t="s">
        <v>26</v>
      </c>
      <c r="C84" s="64" t="s">
        <v>179</v>
      </c>
      <c r="D84" s="64"/>
      <c r="E84" s="64" t="s">
        <v>21</v>
      </c>
      <c r="F84" s="64" t="s">
        <v>23</v>
      </c>
      <c r="G84" s="62" t="s">
        <v>22</v>
      </c>
      <c r="H84" s="62">
        <v>8</v>
      </c>
      <c r="I84" s="62"/>
      <c r="J84" s="33">
        <v>46180</v>
      </c>
      <c r="K84" s="33">
        <v>46180</v>
      </c>
    </row>
    <row r="85" spans="2:11" ht="18.75" customHeight="1" x14ac:dyDescent="0.25">
      <c r="B85" s="62" t="s">
        <v>26</v>
      </c>
      <c r="C85" s="64" t="s">
        <v>180</v>
      </c>
      <c r="D85" s="64"/>
      <c r="E85" s="64" t="s">
        <v>21</v>
      </c>
      <c r="F85" s="64" t="s">
        <v>23</v>
      </c>
      <c r="G85" s="62" t="s">
        <v>22</v>
      </c>
      <c r="H85" s="62">
        <v>8</v>
      </c>
      <c r="I85" s="62"/>
      <c r="J85" s="33">
        <v>46187</v>
      </c>
      <c r="K85" s="33">
        <v>46187</v>
      </c>
    </row>
    <row r="86" spans="2:11" ht="18.75" customHeight="1" x14ac:dyDescent="0.25">
      <c r="B86" s="62" t="s">
        <v>26</v>
      </c>
      <c r="C86" s="64" t="s">
        <v>181</v>
      </c>
      <c r="D86" s="64"/>
      <c r="E86" s="64" t="s">
        <v>21</v>
      </c>
      <c r="F86" s="64" t="s">
        <v>23</v>
      </c>
      <c r="G86" s="62" t="s">
        <v>22</v>
      </c>
      <c r="H86" s="62">
        <v>8</v>
      </c>
      <c r="I86" s="62"/>
      <c r="J86" s="33">
        <v>46194</v>
      </c>
      <c r="K86" s="33">
        <v>46194</v>
      </c>
    </row>
    <row r="87" spans="2:11" ht="18.75" customHeight="1" x14ac:dyDescent="0.25">
      <c r="B87" s="62" t="s">
        <v>26</v>
      </c>
      <c r="C87" s="64" t="s">
        <v>182</v>
      </c>
      <c r="D87" s="64"/>
      <c r="E87" s="64" t="s">
        <v>21</v>
      </c>
      <c r="F87" s="64" t="s">
        <v>23</v>
      </c>
      <c r="G87" s="62" t="s">
        <v>22</v>
      </c>
      <c r="H87" s="62">
        <v>8</v>
      </c>
      <c r="I87" s="62"/>
      <c r="J87" s="33">
        <v>46201</v>
      </c>
      <c r="K87" s="33">
        <v>46201</v>
      </c>
    </row>
    <row r="88" spans="2:11" ht="18.75" customHeight="1" x14ac:dyDescent="0.25">
      <c r="B88" s="62" t="s">
        <v>27</v>
      </c>
      <c r="C88" s="64" t="s">
        <v>183</v>
      </c>
      <c r="D88" s="64" t="s">
        <v>89</v>
      </c>
      <c r="E88" s="64" t="s">
        <v>21</v>
      </c>
      <c r="F88" s="64" t="s">
        <v>23</v>
      </c>
      <c r="G88" s="62" t="s">
        <v>22</v>
      </c>
      <c r="H88" s="62">
        <v>6</v>
      </c>
      <c r="I88" s="62"/>
      <c r="J88" s="33">
        <v>46202</v>
      </c>
      <c r="K88" s="33">
        <v>46202</v>
      </c>
    </row>
    <row r="89" spans="2:11" ht="18.75" customHeight="1" x14ac:dyDescent="0.25">
      <c r="B89" s="62" t="s">
        <v>27</v>
      </c>
      <c r="C89" s="64" t="s">
        <v>184</v>
      </c>
      <c r="D89" s="64" t="s">
        <v>93</v>
      </c>
      <c r="E89" s="64" t="s">
        <v>21</v>
      </c>
      <c r="F89" s="64" t="s">
        <v>23</v>
      </c>
      <c r="G89" s="62" t="s">
        <v>22</v>
      </c>
      <c r="H89" s="62">
        <v>2</v>
      </c>
      <c r="I89" s="62"/>
      <c r="J89" s="33">
        <v>46202</v>
      </c>
      <c r="K89" s="33">
        <v>46202</v>
      </c>
    </row>
    <row r="90" spans="2:11" ht="18.75" customHeight="1" x14ac:dyDescent="0.25">
      <c r="B90" s="62" t="s">
        <v>27</v>
      </c>
      <c r="C90" s="64" t="s">
        <v>185</v>
      </c>
      <c r="D90" s="64"/>
      <c r="E90" s="64" t="s">
        <v>21</v>
      </c>
      <c r="F90" s="64" t="s">
        <v>23</v>
      </c>
      <c r="G90" s="62" t="s">
        <v>22</v>
      </c>
      <c r="H90" s="62">
        <v>8</v>
      </c>
      <c r="I90" s="62"/>
      <c r="J90" s="33">
        <v>46202</v>
      </c>
      <c r="K90" s="33">
        <v>46202</v>
      </c>
    </row>
    <row r="91" spans="2:11" ht="18.75" customHeight="1" x14ac:dyDescent="0.25">
      <c r="B91" s="62" t="s">
        <v>27</v>
      </c>
      <c r="C91" s="64" t="s">
        <v>186</v>
      </c>
      <c r="D91" s="64" t="s">
        <v>70</v>
      </c>
      <c r="E91" s="64" t="s">
        <v>21</v>
      </c>
      <c r="F91" s="64" t="s">
        <v>23</v>
      </c>
      <c r="G91" s="62" t="s">
        <v>22</v>
      </c>
      <c r="H91" s="62">
        <v>40</v>
      </c>
      <c r="I91" s="62"/>
      <c r="J91" s="33">
        <v>46203</v>
      </c>
      <c r="K91" s="33">
        <v>46203</v>
      </c>
    </row>
    <row r="92" spans="2:11" ht="18.75" customHeight="1" x14ac:dyDescent="0.25">
      <c r="B92" s="62" t="s">
        <v>27</v>
      </c>
      <c r="C92" s="64" t="s">
        <v>187</v>
      </c>
      <c r="D92" s="64"/>
      <c r="E92" s="64" t="s">
        <v>21</v>
      </c>
      <c r="F92" s="64" t="s">
        <v>23</v>
      </c>
      <c r="G92" s="62" t="s">
        <v>22</v>
      </c>
      <c r="H92" s="62">
        <v>10</v>
      </c>
      <c r="I92" s="62"/>
      <c r="J92" s="33">
        <v>46203</v>
      </c>
      <c r="K92" s="33">
        <v>46203</v>
      </c>
    </row>
    <row r="93" spans="2:11" ht="18.75" customHeight="1" x14ac:dyDescent="0.25">
      <c r="B93" s="62" t="s">
        <v>27</v>
      </c>
      <c r="C93" s="64" t="s">
        <v>188</v>
      </c>
      <c r="D93" s="64" t="s">
        <v>64</v>
      </c>
      <c r="E93" s="64" t="s">
        <v>21</v>
      </c>
      <c r="F93" s="64" t="s">
        <v>23</v>
      </c>
      <c r="G93" s="62" t="s">
        <v>22</v>
      </c>
      <c r="H93" s="62">
        <v>8</v>
      </c>
      <c r="I93" s="62"/>
      <c r="J93" s="33">
        <v>46202</v>
      </c>
      <c r="K93" s="33">
        <v>46202</v>
      </c>
    </row>
    <row r="94" spans="2:11" ht="18.75" customHeight="1" x14ac:dyDescent="0.25">
      <c r="B94" s="62" t="s">
        <v>27</v>
      </c>
      <c r="C94" s="64" t="s">
        <v>189</v>
      </c>
      <c r="D94" s="64"/>
      <c r="E94" s="64" t="s">
        <v>21</v>
      </c>
      <c r="F94" s="64" t="s">
        <v>23</v>
      </c>
      <c r="G94" s="62" t="s">
        <v>22</v>
      </c>
      <c r="H94" s="62">
        <v>8</v>
      </c>
      <c r="I94" s="62"/>
      <c r="J94" s="33">
        <v>46202</v>
      </c>
      <c r="K94" s="33">
        <v>46202</v>
      </c>
    </row>
    <row r="95" spans="2:11" ht="18.75" customHeight="1" x14ac:dyDescent="0.25">
      <c r="B95" s="62" t="s">
        <v>27</v>
      </c>
      <c r="C95" s="64" t="s">
        <v>190</v>
      </c>
      <c r="D95" s="64"/>
      <c r="E95" s="64" t="s">
        <v>21</v>
      </c>
      <c r="F95" s="64" t="s">
        <v>23</v>
      </c>
      <c r="G95" s="62" t="s">
        <v>22</v>
      </c>
      <c r="H95" s="62">
        <v>10</v>
      </c>
      <c r="I95" s="62"/>
      <c r="J95" s="33">
        <v>46202</v>
      </c>
      <c r="K95" s="33">
        <v>46202</v>
      </c>
    </row>
  </sheetData>
  <phoneticPr fontId="20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B5FBA8-056A-441B-B862-EAE00E81CA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Tareas rutinarias</vt:lpstr>
      <vt:lpstr>Tiempo</vt:lpstr>
      <vt:lpstr>Tareas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Alonso</dc:creator>
  <cp:lastModifiedBy>Cristóbal Alonso Gómez</cp:lastModifiedBy>
  <cp:lastPrinted>2025-03-02T22:48:12Z</cp:lastPrinted>
  <dcterms:created xsi:type="dcterms:W3CDTF">2025-03-02T21:57:01Z</dcterms:created>
  <dcterms:modified xsi:type="dcterms:W3CDTF">2026-06-14T13:26:09Z</dcterms:modified>
</cp:coreProperties>
</file>